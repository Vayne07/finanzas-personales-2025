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ecas\Desktop\Finanzas Personales 2025\Finanzas Personales 2025\"/>
    </mc:Choice>
  </mc:AlternateContent>
  <xr:revisionPtr revIDLastSave="0" documentId="13_ncr:1_{5F8FD448-D438-4262-920D-3E08AEA4961A}" xr6:coauthVersionLast="47" xr6:coauthVersionMax="47" xr10:uidLastSave="{00000000-0000-0000-0000-000000000000}"/>
  <bookViews>
    <workbookView xWindow="-120" yWindow="-120" windowWidth="20640" windowHeight="11310" xr2:uid="{00000000-000D-0000-FFFF-FFFF00000000}"/>
  </bookViews>
  <sheets>
    <sheet name="Registros" sheetId="2" r:id="rId1"/>
    <sheet name="Dashboard" sheetId="1" r:id="rId2"/>
  </sheets>
  <definedNames>
    <definedName name="_xleta.T" hidden="1" xlm="1">#NAME?</definedName>
    <definedName name="_xleta.TODAY" hidden="1" xlm="1">#NAME?</definedName>
    <definedName name="angulo_gasto">'Registros'!$BN$26</definedName>
    <definedName name="angulo_radianes">'Registros'!$BN$27</definedName>
    <definedName name="coord_x">'Registros'!$BO$28</definedName>
    <definedName name="coord_y">'Registros'!$BO$29</definedName>
    <definedName name="dinero_disponible">'Registros'!$Y$6</definedName>
    <definedName name="dinero_total">'Registros'!$Y$9</definedName>
    <definedName name="gasto_limite_diario">'Registros'!$Y$24</definedName>
    <definedName name="gasto_promedio_diario">'Registros'!$Y$21</definedName>
    <definedName name="gastos">'Registros'!$Y$18</definedName>
    <definedName name="gastos_fijos">'Registros'!$Y$27</definedName>
    <definedName name="ingreso_ajustado">'Registros'!#REF!</definedName>
    <definedName name="ingresos">'Registros'!$Y$15</definedName>
    <definedName name="NativeTimeline_Fecha">#N/A</definedName>
    <definedName name="porcentaje_gasto_diario">'Registros'!$BN$25</definedName>
    <definedName name="reservas">'Registros'!$Y$12</definedName>
    <definedName name="SegmentaciónDeDatos_Descripcion">#N/A</definedName>
  </definedNames>
  <calcPr calcId="191029"/>
  <pivotCaches>
    <pivotCache cacheId="7" r:id="rId3"/>
  </pivotCaches>
  <extLst>
    <ext xmlns:x14="http://schemas.microsoft.com/office/spreadsheetml/2009/9/main" uri="{BBE1A952-AA13-448e-AADC-164F8A28A991}">
      <x14:slicerCaches>
        <x14:slicerCache r:id="rId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J7" i="2" l="1" a="1"/>
  <c r="CJ7" i="2" s="1"/>
  <c r="CJ8" i="2" a="1"/>
  <c r="CJ8" i="2" s="1"/>
  <c r="CJ9" i="2" a="1"/>
  <c r="CJ9" i="2" s="1"/>
  <c r="CJ10" i="2" a="1"/>
  <c r="CJ10" i="2" s="1"/>
  <c r="CJ6" i="2" a="1"/>
  <c r="CJ6" i="2" s="1"/>
  <c r="CI7" i="2" a="1"/>
  <c r="CI7" i="2" s="1"/>
  <c r="CI8" i="2" a="1"/>
  <c r="CI8" i="2" s="1"/>
  <c r="CI9" i="2" a="1"/>
  <c r="CI9" i="2" s="1"/>
  <c r="CI10" i="2" a="1"/>
  <c r="CI10" i="2" s="1"/>
  <c r="CI6" i="2" a="1"/>
  <c r="CI6" i="2" s="1"/>
  <c r="BX6" i="2" a="1"/>
  <c r="BX6" i="2" s="1"/>
  <c r="CG7" i="2"/>
  <c r="CG8" i="2"/>
  <c r="CG9" i="2"/>
  <c r="CG10" i="2"/>
  <c r="CG6" i="2"/>
  <c r="BY7" i="2" a="1"/>
  <c r="BY7" i="2" s="1"/>
  <c r="BY8" i="2" a="1"/>
  <c r="BY8" i="2" s="1"/>
  <c r="BY9" i="2" a="1"/>
  <c r="BY9" i="2" s="1"/>
  <c r="BY6" i="2" a="1"/>
  <c r="BY6" i="2" s="1"/>
  <c r="BX7" i="2" a="1"/>
  <c r="BX7" i="2" s="1"/>
  <c r="BX8" i="2" a="1"/>
  <c r="BX8" i="2" s="1"/>
  <c r="BX9" i="2" a="1"/>
  <c r="BX9" i="2" s="1"/>
  <c r="BV9" i="2"/>
  <c r="BV8" i="2"/>
  <c r="BV7" i="2"/>
  <c r="BV6" i="2"/>
  <c r="BT7" i="2" a="1"/>
  <c r="BT7" i="2" s="1"/>
  <c r="BT8" i="2" a="1"/>
  <c r="BT8" i="2" s="1"/>
  <c r="BT9" i="2" a="1"/>
  <c r="BT9" i="2" s="1"/>
  <c r="BT6" i="2" a="1"/>
  <c r="BT6" i="2" s="1"/>
  <c r="BS7" i="2" a="1"/>
  <c r="BS7" i="2" s="1"/>
  <c r="BS8" i="2" a="1"/>
  <c r="BS8" i="2" s="1"/>
  <c r="BS9" i="2" a="1"/>
  <c r="BS9" i="2" s="1"/>
  <c r="BS6" i="2" a="1"/>
  <c r="BS6" i="2" s="1"/>
  <c r="BQ7" i="2"/>
  <c r="BQ8" i="2"/>
  <c r="BQ9" i="2"/>
  <c r="BQ6" i="2"/>
  <c r="BA7" i="2" a="1"/>
  <c r="BA7" i="2" s="1"/>
  <c r="BA8" i="2" a="1"/>
  <c r="BA8" i="2" s="1"/>
  <c r="BA9" i="2" a="1"/>
  <c r="BA9" i="2" s="1"/>
  <c r="BA10" i="2" a="1"/>
  <c r="BA10" i="2" s="1"/>
  <c r="BA6" i="2" a="1"/>
  <c r="BA6" i="2" s="1"/>
  <c r="AZ7" i="2" a="1"/>
  <c r="AZ7" i="2" s="1"/>
  <c r="AZ8" i="2" a="1"/>
  <c r="AZ8" i="2" s="1"/>
  <c r="AZ9" i="2" a="1"/>
  <c r="AZ9" i="2" s="1"/>
  <c r="AZ10" i="2" a="1"/>
  <c r="AZ10" i="2" s="1"/>
  <c r="AZ6" i="2" a="1"/>
  <c r="AZ6" i="2" s="1"/>
  <c r="BO13" i="2"/>
  <c r="BO14" i="2"/>
  <c r="BO15" i="2"/>
  <c r="BO16" i="2"/>
  <c r="BO17" i="2"/>
  <c r="BO18" i="2"/>
  <c r="BO19" i="2"/>
  <c r="BO20" i="2"/>
  <c r="BO21" i="2"/>
  <c r="BO22" i="2"/>
  <c r="BO23" i="2"/>
  <c r="BO12" i="2"/>
  <c r="BJ7" i="2"/>
  <c r="BJ8" i="2"/>
  <c r="BJ9" i="2"/>
  <c r="BJ10" i="2"/>
  <c r="BJ11" i="2"/>
  <c r="BJ12" i="2"/>
  <c r="BJ13" i="2"/>
  <c r="BJ14" i="2"/>
  <c r="BJ15" i="2"/>
  <c r="BJ16" i="2"/>
  <c r="BJ17" i="2"/>
  <c r="BJ6" i="2"/>
  <c r="AS7" i="2"/>
  <c r="AS8" i="2"/>
  <c r="AS9" i="2"/>
  <c r="AS10" i="2"/>
  <c r="AS11" i="2"/>
  <c r="AS12" i="2"/>
  <c r="AS13" i="2"/>
  <c r="AS14" i="2"/>
  <c r="AS15" i="2"/>
  <c r="AS16" i="2"/>
  <c r="AS17" i="2"/>
  <c r="AS6" i="2"/>
  <c r="AN7" i="2"/>
  <c r="AN9" i="2"/>
  <c r="AN6" i="2"/>
  <c r="AR6" i="2" s="1"/>
  <c r="N6" i="2" s="1"/>
  <c r="AN8" i="2"/>
  <c r="AN10" i="2"/>
  <c r="AR10" i="2" s="1"/>
  <c r="N10" i="2" s="1"/>
  <c r="AN11" i="2"/>
  <c r="AR11" i="2" s="1"/>
  <c r="N11" i="2" s="1"/>
  <c r="AN12" i="2"/>
  <c r="AR12" i="2" s="1"/>
  <c r="N12" i="2" s="1"/>
  <c r="AN13" i="2"/>
  <c r="AR13" i="2" s="1"/>
  <c r="N13" i="2" s="1"/>
  <c r="AN14" i="2"/>
  <c r="AR14" i="2" s="1"/>
  <c r="N14" i="2" s="1"/>
  <c r="AN15" i="2"/>
  <c r="AR15" i="2" s="1"/>
  <c r="N15" i="2" s="1"/>
  <c r="AN16" i="2"/>
  <c r="AR16" i="2" s="1"/>
  <c r="N16" i="2" s="1"/>
  <c r="AN17" i="2"/>
  <c r="AR17" i="2" s="1"/>
  <c r="N17" i="2" s="1"/>
  <c r="AX10" i="2"/>
  <c r="AX9" i="2"/>
  <c r="AX8" i="2"/>
  <c r="AX7" i="2"/>
  <c r="AX6" i="2"/>
  <c r="R5" i="2" a="1"/>
  <c r="R5" i="2" s="1"/>
  <c r="Y15" i="2"/>
  <c r="Y27" i="2"/>
  <c r="Y18" i="2"/>
  <c r="Y12" i="2"/>
  <c r="Y9" i="2"/>
  <c r="Y24" i="2" l="1"/>
  <c r="BK17" i="2"/>
  <c r="BK13" i="2"/>
  <c r="BK16" i="2"/>
  <c r="BK8" i="2"/>
  <c r="BK11" i="2"/>
  <c r="BK9" i="2"/>
  <c r="Y21" i="2"/>
  <c r="BN25" i="2" s="1"/>
  <c r="BK15" i="2"/>
  <c r="BK12" i="2"/>
  <c r="BK14" i="2"/>
  <c r="BK10" i="2"/>
  <c r="BK7" i="2"/>
  <c r="AO7" i="2"/>
  <c r="AR7" i="2"/>
  <c r="N7" i="2" s="1"/>
  <c r="AO14" i="2"/>
  <c r="AO10" i="2"/>
  <c r="AO17" i="2"/>
  <c r="AO13" i="2"/>
  <c r="AO16" i="2"/>
  <c r="AO12" i="2"/>
  <c r="AO9" i="2"/>
  <c r="AO15" i="2"/>
  <c r="AO11" i="2"/>
  <c r="AO8" i="2"/>
  <c r="U9" i="2"/>
  <c r="U8" i="2"/>
  <c r="U7" i="2"/>
  <c r="U6" i="2"/>
  <c r="V6" i="2" s="1"/>
  <c r="Y6" i="2"/>
  <c r="V7" i="2" l="1"/>
  <c r="W7" i="2" s="1"/>
  <c r="BN26" i="2"/>
  <c r="AR8" i="2"/>
  <c r="N8" i="2" s="1"/>
  <c r="W6" i="2"/>
  <c r="V8" i="2" l="1"/>
  <c r="W8" i="2" s="1"/>
  <c r="BN27" i="2"/>
  <c r="AR9" i="2"/>
  <c r="N9" i="2" s="1"/>
  <c r="BO28" i="2" l="1"/>
  <c r="V9" i="2"/>
  <c r="W9" i="2" s="1"/>
  <c r="BO2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<sst xmlns="http://schemas.openxmlformats.org/spreadsheetml/2006/main" count="199" uniqueCount="82">
  <si>
    <t>Fecha</t>
  </si>
  <si>
    <t>Descripcion</t>
  </si>
  <si>
    <t>Movimiento en $</t>
  </si>
  <si>
    <t>Sector</t>
  </si>
  <si>
    <t>Reserva</t>
  </si>
  <si>
    <t>Billetera</t>
  </si>
  <si>
    <t>Ingresos</t>
  </si>
  <si>
    <t>Total general</t>
  </si>
  <si>
    <t>Dinero</t>
  </si>
  <si>
    <t>Reservas</t>
  </si>
  <si>
    <t>Gastos</t>
  </si>
  <si>
    <t>Dinero Total</t>
  </si>
  <si>
    <t>Dinero disponible</t>
  </si>
  <si>
    <t>Indice</t>
  </si>
  <si>
    <t>Valor actual Barra</t>
  </si>
  <si>
    <t>Categorias</t>
  </si>
  <si>
    <t>Categorias de Gastos</t>
  </si>
  <si>
    <t>Gasto diario</t>
  </si>
  <si>
    <t>Semana 1</t>
  </si>
  <si>
    <t>Semana 2</t>
  </si>
  <si>
    <t>Semana 3</t>
  </si>
  <si>
    <t>Semana 4</t>
  </si>
  <si>
    <t>Semana</t>
  </si>
  <si>
    <t>Presupuesto Inicial</t>
  </si>
  <si>
    <t>Gastos Acumulados</t>
  </si>
  <si>
    <t>Saldo Restante</t>
  </si>
  <si>
    <t>Mes</t>
  </si>
  <si>
    <t>Dinero INICIAL Disponible</t>
  </si>
  <si>
    <t>ene</t>
  </si>
  <si>
    <t>feb</t>
  </si>
  <si>
    <t>Gasto mensual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</si>
  <si>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</si>
  <si>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</si>
  <si>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</si>
  <si>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</si>
  <si>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</si>
  <si>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</si>
  <si>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</si>
  <si>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</si>
  <si>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</si>
  <si>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</si>
  <si>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Ingreso Mensual</t>
  </si>
  <si>
    <t>Ingreso</t>
  </si>
  <si>
    <t>Variabilidad</t>
  </si>
  <si>
    <t>Inflación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</si>
  <si>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</si>
  <si>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</si>
  <si>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</si>
  <si>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</si>
  <si>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</si>
  <si>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</si>
  <si>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</si>
  <si>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</si>
  <si>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</si>
  <si>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</si>
  <si>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</si>
  <si>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</si>
  <si>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IPC</t>
  </si>
  <si>
    <t>Ingreso Ajustado</t>
  </si>
  <si>
    <t>Gasto promedio diario</t>
  </si>
  <si>
    <t>Rango</t>
  </si>
  <si>
    <t>Valor</t>
  </si>
  <si>
    <t>Verde</t>
  </si>
  <si>
    <t>Amarillo</t>
  </si>
  <si>
    <t>Rojo</t>
  </si>
  <si>
    <t>Resto del circulo (invisible)</t>
  </si>
  <si>
    <t>Gasto diario limite</t>
  </si>
  <si>
    <t>X</t>
  </si>
  <si>
    <t>Y</t>
  </si>
  <si>
    <t>Dias del mes</t>
  </si>
  <si>
    <t>Porcentaje de gasto diario</t>
  </si>
  <si>
    <t>Angulo</t>
  </si>
  <si>
    <t>Radianes</t>
  </si>
  <si>
    <t>Gasto limite diario</t>
  </si>
  <si>
    <t>(Todas)</t>
  </si>
  <si>
    <t>Inicio del mes</t>
  </si>
  <si>
    <t>Gastos Fijos</t>
  </si>
  <si>
    <t>1-ene</t>
  </si>
  <si>
    <t>Efectivo</t>
  </si>
  <si>
    <t>Gasto de ejemplo</t>
  </si>
  <si>
    <t>Categoria de ejemplo</t>
  </si>
  <si>
    <t>Reserva de ejemplo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</si>
</sst>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5" formatCode="&quot;$&quot;\ #,##0;\-&quot;$&quot;\ #,##0"/>
    <numFmt numFmtId="6" formatCode="&quot;$&quot;\ #,##0;[Red]\-&quot;$&quot;\ #,##0"/>
    <numFmt numFmtId="164" formatCode="0.0%"/>
  </numFmts>
  <fonts count="6" x14ac:knownFonts="1">
    <font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6" fontId="0" fillId="0" borderId="0" xfId="0" applyNumberFormat="1"/>
    <xf numFmtId="5" fontId="3" fillId="0" borderId="0" xfId="0" applyNumberFormat="1" applyFont="1"/>
    <xf numFmtId="5" fontId="0" fillId="0" borderId="0" xfId="0" applyNumberFormat="1"/>
    <xf numFmtId="0" fontId="0" fillId="3" borderId="0" xfId="0" applyFill="1"/>
    <xf numFmtId="0" fontId="0" fillId="0" borderId="1" xfId="0" applyBorder="1"/>
    <xf numFmtId="1" fontId="0" fillId="0" borderId="1" xfId="0" applyNumberFormat="1" applyBorder="1"/>
    <xf numFmtId="0" fontId="0" fillId="0" borderId="2" xfId="0" applyBorder="1"/>
    <xf numFmtId="0" fontId="2" fillId="2" borderId="1" xfId="0" applyFont="1" applyFill="1" applyBorder="1"/>
    <xf numFmtId="5" fontId="3" fillId="0" borderId="1" xfId="0" applyNumberFormat="1" applyFont="1" applyBorder="1"/>
    <xf numFmtId="6" fontId="0" fillId="5" borderId="3" xfId="0" applyNumberFormat="1" applyFill="1" applyBorder="1"/>
    <xf numFmtId="9" fontId="0" fillId="0" borderId="0" xfId="0" applyNumberFormat="1"/>
    <xf numFmtId="164" fontId="0" fillId="0" borderId="0" xfId="0" applyNumberFormat="1"/>
    <xf numFmtId="9" fontId="0" fillId="0" borderId="0" xfId="1" applyFo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5" fontId="0" fillId="0" borderId="0" xfId="0" applyNumberFormat="1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4" xfId="0" applyFill="1" applyBorder="1"/>
    <xf numFmtId="9" fontId="0" fillId="9" borderId="4" xfId="0" applyNumberFormat="1" applyFill="1" applyBorder="1"/>
    <xf numFmtId="15" fontId="0" fillId="0" borderId="0" xfId="0" applyNumberFormat="1"/>
    <xf numFmtId="4" fontId="0" fillId="0" borderId="0" xfId="0" applyNumberFormat="1"/>
    <xf numFmtId="1" fontId="0" fillId="0" borderId="5" xfId="0" applyNumberFormat="1" applyBorder="1"/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6" fontId="1" fillId="0" borderId="0" xfId="0" applyNumberFormat="1" applyFont="1" applyProtection="1">
      <protection locked="0"/>
    </xf>
    <xf numFmtId="6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</cellXfs>
  <cellStyles count="2">
    <cellStyle name="Normal" xfId="0" builtinId="0"/>
    <cellStyle name="Porcentaje" xfId="1" builtinId="5"/>
  </cellStyles>
  <dxfs count="36">
    <dxf>
      <numFmt numFmtId="9" formatCode="&quot;$&quot;\ #,##0;\-&quot;$&quot;\ #,##0"/>
    </dxf>
    <dxf>
      <numFmt numFmtId="9" formatCode="&quot;$&quot;\ #,##0;\-&quot;$&quot;\ #,##0"/>
    </dxf>
    <dxf>
      <numFmt numFmtId="9" formatCode="&quot;$&quot;\ #,##0;\-&quot;$&quot;\ #,##0"/>
    </dxf>
    <dxf>
      <numFmt numFmtId="9" formatCode="&quot;$&quot;\ #,##0;\-&quot;$&quot;\ #,##0"/>
    </dxf>
    <dxf>
      <numFmt numFmtId="9" formatCode="&quot;$&quot;\ #,##0;\-&quot;$&quot;\ #,##0"/>
    </dxf>
    <dxf>
      <font>
        <color auto="1"/>
      </font>
    </dxf>
    <dxf>
      <numFmt numFmtId="9" formatCode="&quot;$&quot;\ #,##0;\-&quot;$&quot;\ #,##0"/>
    </dxf>
    <dxf>
      <protection locked="0" hidden="0"/>
    </dxf>
    <dxf>
      <protection locked="0" hidden="0"/>
    </dxf>
    <dxf>
      <numFmt numFmtId="10" formatCode="&quot;$&quot;\ #,##0;[Red]\-&quot;$&quot;\ #,##0"/>
    </dxf>
    <dxf>
      <numFmt numFmtId="0" formatCode="General"/>
    </dxf>
    <dxf>
      <numFmt numFmtId="10" formatCode="&quot;$&quot;\ #,##0;[Red]\-&quot;$&quot;\ #,##0"/>
    </dxf>
    <dxf>
      <numFmt numFmtId="10" formatCode="&quot;$&quot;\ #,##0;[Red]\-&quot;$&quot;\ #,##0"/>
    </dxf>
    <dxf>
      <numFmt numFmtId="164" formatCode="0.0%"/>
      <protection locked="0" hidden="0"/>
    </dxf>
    <dxf>
      <numFmt numFmtId="13" formatCode="0%"/>
    </dxf>
    <dxf>
      <numFmt numFmtId="10" formatCode="&quot;$&quot;\ #,##0;[Red]\-&quot;$&quot;\ #,##0"/>
      <protection locked="0" hidden="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rgb="FF00B050"/>
        <name val="Calibri"/>
        <family val="2"/>
        <scheme val="minor"/>
      </font>
      <numFmt numFmtId="10" formatCode="&quot;$&quot;\ #,##0;[Red]\-&quot;$&quot;\ #,##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numFmt numFmtId="9" formatCode="&quot;$&quot;\ #,##0;\-&quot;$&quot;\ #,##0"/>
    </dxf>
    <dxf>
      <font>
        <color auto="1"/>
      </font>
    </dxf>
    <dxf>
      <numFmt numFmtId="9" formatCode="&quot;$&quot;\ #,##0;\-&quot;$&quot;\ #,##0"/>
    </dxf>
    <dxf>
      <numFmt numFmtId="9" formatCode="&quot;$&quot;\ #,##0;\-&quot;$&quot;\ #,##0"/>
    </dxf>
    <dxf>
      <numFmt numFmtId="9" formatCode="&quot;$&quot;\ #,##0;\-&quot;$&quot;\ #,##0"/>
    </dxf>
    <dxf>
      <numFmt numFmtId="9" formatCode="&quot;$&quot;\ #,##0;\-&quot;$&quot;\ #,##0"/>
    </dxf>
    <dxf>
      <numFmt numFmtId="9" formatCode="&quot;$&quot;\ #,##0;\-&quot;$&quot;\ #,##0"/>
    </dxf>
    <dxf>
      <fill>
        <patternFill>
          <bgColor theme="1" tint="0.14996795556505021"/>
        </patternFill>
      </fill>
    </dxf>
    <dxf>
      <fill>
        <patternFill patternType="none">
          <bgColor auto="1"/>
        </patternFill>
      </fill>
    </dxf>
  </dxfs>
  <tableStyles count="2" defaultTableStyle="TableStyleMedium2" defaultPivotStyle="PivotStyleLight16">
    <tableStyle name="Estilo de escala de tiempo 1" pivot="0" table="0" count="6" xr9:uid="{2DB49502-B458-409B-B2C5-704D0C2A4521}">
      <tableStyleElement type="wholeTable" dxfId="35"/>
    </tableStyle>
    <tableStyle name="Estilo de segmentación de datos 1" pivot="0" table="0" count="5" xr9:uid="{C1231E2E-11CB-40E9-BA1D-870037A56F75}">
      <tableStyleElement type="wholeTable" dxfId="34"/>
    </tableStyle>
  </tableStyles>
  <colors>
    <mruColors>
      <color rgb="FFFF9797"/>
      <color rgb="FFAC76D4"/>
      <color rgb="FF986CBC"/>
      <color rgb="FF755C8A"/>
      <color rgb="FFD6BBEB"/>
      <color rgb="FFD281FF"/>
      <color rgb="FFE0A7FF"/>
      <color rgb="FF7D499D"/>
      <color rgb="FFAC74D6"/>
      <color rgb="FFFFFFFF"/>
    </mruColors>
  </colors>
  <extLst>
    <ext xmlns:x14="http://schemas.microsoft.com/office/spreadsheetml/2009/9/main" uri="{46F421CA-312F-682f-3DD2-61675219B42D}">
      <x14:dxfs count="4">
        <dxf>
          <fill>
            <patternFill>
              <bgColor rgb="FFD281FF"/>
            </patternFill>
          </fill>
        </dxf>
        <dxf>
          <fill>
            <patternFill>
              <bgColor rgb="FF986CBC"/>
            </patternFill>
          </fill>
        </dxf>
        <dxf>
          <fill>
            <patternFill>
              <fgColor rgb="FFD6BBEB"/>
              <bgColor rgb="FFD6BBEB"/>
            </patternFill>
          </fill>
        </dxf>
        <dxf>
          <fill>
            <patternFill>
              <bgColor rgb="FF755C8A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A0A4C193-F2C1-4fcb-8827-314CF55A85BB}">
      <x15:dxfs count="5">
        <dxf>
          <fill>
            <gradientFill degree="45">
              <stop position="0">
                <color theme="0" tint="-0.25098422193060094"/>
              </stop>
              <stop position="0.5">
                <color theme="0" tint="-0.49803155613879818"/>
              </stop>
              <stop position="1">
                <color theme="0" tint="-0.25098422193060094"/>
              </stop>
            </gradientFill>
          </fill>
        </dxf>
        <dxf>
          <fill>
            <gradientFill degree="90">
              <stop position="0">
                <color rgb="FF98E28E"/>
              </stop>
              <stop position="1">
                <color rgb="FF58D048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9"/>
            <color theme="0"/>
            <name val="Century Gothic"/>
            <family val="2"/>
            <scheme val="none"/>
          </font>
        </dxf>
        <dxf>
          <font>
            <b/>
            <i/>
            <sz val="11"/>
            <color theme="0"/>
            <name val="Century Gothic"/>
            <family val="2"/>
            <scheme val="none"/>
          </font>
        </dxf>
        <dxf>
          <font>
            <b/>
            <i/>
            <sz val="11"/>
            <color theme="0"/>
            <name val="Century Gothic"/>
            <family val="2"/>
            <scheme val="none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Estilo de escala de tiempo 1">
          <x15:timelineStyleElements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microsoft.com/office/2011/relationships/timelineCache" Target="timelineCaches/timelineCache1.xml"/><Relationship Id="rId10" Type="http://schemas.openxmlformats.org/officeDocument/2006/relationships/calcChain" Target="calcChain.xml"/><Relationship Id="rId4" Type="http://schemas.microsoft.com/office/2007/relationships/slicerCache" Target="slicerCaches/slicerCache1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6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AR" sz="1600" b="1" i="1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Gastos</a:t>
            </a:r>
          </a:p>
        </c:rich>
      </c:tx>
      <c:layout>
        <c:manualLayout>
          <c:xMode val="edge"/>
          <c:yMode val="edge"/>
          <c:x val="6.784162122731989E-2"/>
          <c:y val="9.767945673457484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6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28232528213796942"/>
          <c:y val="0.2107135180475104"/>
          <c:w val="0.59463694753150265"/>
          <c:h val="0.746165800421192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FF979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4343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'Registros'!$AZ$6:$AZ$10</c:f>
              <c:strCache>
                <c:ptCount val="1"/>
                <c:pt idx="0">
                  <c:v>Categoria de ejemplo</c:v>
                </c:pt>
              </c:strCache>
            </c:strRef>
          </c:cat>
          <c:val>
            <c:numRef>
              <c:f>'Registros'!$BA$6:$BA$10</c:f>
              <c:numCache>
                <c:formatCode>"$"#,##0_);\("$"#,##0\)</c:formatCode>
                <c:ptCount val="5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27-4415-B45B-8149F10EAFD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479878064"/>
        <c:axId val="1479879024"/>
      </c:barChart>
      <c:catAx>
        <c:axId val="1479878064"/>
        <c:scaling>
          <c:orientation val="maxMin"/>
        </c:scaling>
        <c:delete val="0"/>
        <c:axPos val="r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1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AR"/>
          </a:p>
        </c:txPr>
        <c:crossAx val="1479879024"/>
        <c:crosses val="autoZero"/>
        <c:auto val="1"/>
        <c:lblAlgn val="ctr"/>
        <c:lblOffset val="1"/>
        <c:tickLblSkip val="1"/>
        <c:tickMarkSkip val="1"/>
        <c:noMultiLvlLbl val="0"/>
      </c:catAx>
      <c:valAx>
        <c:axId val="1479879024"/>
        <c:scaling>
          <c:orientation val="maxMin"/>
        </c:scaling>
        <c:delete val="1"/>
        <c:axPos val="t"/>
        <c:numFmt formatCode="&quot;$&quot;#,##0_);\(&quot;$&quot;#,##0\)" sourceLinked="1"/>
        <c:majorTickMark val="out"/>
        <c:minorTickMark val="none"/>
        <c:tickLblPos val="nextTo"/>
        <c:crossAx val="147987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s-AR" b="1" i="1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Ingreso Mensual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"/>
          <c:y val="0.27604838055036934"/>
          <c:w val="1"/>
          <c:h val="0.47516627431880293"/>
        </c:manualLayout>
      </c:layout>
      <c:lineChart>
        <c:grouping val="standard"/>
        <c:varyColors val="0"/>
        <c:ser>
          <c:idx val="1"/>
          <c:order val="0"/>
          <c:tx>
            <c:strRef>
              <c:f>'Registros'!$AR$5</c:f>
              <c:strCache>
                <c:ptCount val="1"/>
                <c:pt idx="0">
                  <c:v>Ingreso Ajustado</c:v>
                </c:pt>
              </c:strCache>
            </c:strRef>
          </c:tx>
          <c:spPr>
            <a:ln w="28575" cap="rnd">
              <a:solidFill>
                <a:srgbClr val="FF656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565"/>
              </a:solidFill>
              <a:ln w="9525">
                <a:solidFill>
                  <a:srgbClr val="FF6565"/>
                </a:solidFill>
              </a:ln>
              <a:effectLst/>
            </c:spPr>
          </c:marker>
          <c:cat>
            <c:strRef>
              <c:f>'Registros'!$AQ$6:$AQ$17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'Registros'!$AR$6:$AR$17</c:f>
              <c:numCache>
                <c:formatCode>"$"#,##0_);[Red]\("$"#,##0\)</c:formatCode>
                <c:ptCount val="12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0-4D70-B631-B945B1B90B0A}"/>
            </c:ext>
          </c:extLst>
        </c:ser>
        <c:ser>
          <c:idx val="0"/>
          <c:order val="1"/>
          <c:tx>
            <c:strRef>
              <c:f>'Registros'!$AN$5</c:f>
              <c:strCache>
                <c:ptCount val="1"/>
                <c:pt idx="0">
                  <c:v>Ingreso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A919ABA-229B-4AF7-87FD-E8788153DDA1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A740-4043-9025-AB2F0785F85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3B59AC-C00B-43DD-B2A5-F5786E48F34D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740-4043-9025-AB2F0785F85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7119A4-3C2D-4A38-9FA3-2724EE9619EE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A740-4043-9025-AB2F0785F85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4970EDE-1083-4206-A30A-23479C972CB8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A740-4043-9025-AB2F0785F85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E39454-ECAF-4B35-9ABF-FFF640D2B7D8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A740-4043-9025-AB2F0785F85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95B80FC-4B8D-4A87-9C34-BF13F17D9841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A740-4043-9025-AB2F0785F85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328340E-CE32-4089-A106-06F3DADB63B7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A740-4043-9025-AB2F0785F85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5C92294-7AD4-449D-9B61-F54F6C422F45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A740-4043-9025-AB2F0785F85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6742EEC-C492-4E75-A40D-EC65B453A5A1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A740-4043-9025-AB2F0785F8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60741ED-3F24-49C5-A8D1-6D8C4F2DBC44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A740-4043-9025-AB2F0785F85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E7639BE-AD14-46FB-B8B5-B34D7F1982B1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A740-4043-9025-AB2F0785F85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B37CCC-BA79-4CD5-B861-3DDC5D89FCA7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A740-4043-9025-AB2F0785F8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6000" tIns="19050" rIns="360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endParaRPr lang="es-A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'Registros'!$AM$6:$AM$17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'Registros'!$AN$6:$AN$17</c:f>
              <c:numCache>
                <c:formatCode>General</c:formatCode>
                <c:ptCount val="12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'Registros'!$AO$6:$AO$17</c15:f>
                <c15:dlblRangeCache>
                  <c:ptCount val="12"/>
                </c15:dlblRangeCache>
              </c15:datalabelsRange>
            </c:ext>
            <c:ext xmlns:c16="http://schemas.microsoft.com/office/drawing/2014/chart" uri="{C3380CC4-5D6E-409C-BE32-E72D297353CC}">
              <c16:uniqueId val="{0000000C-A740-4043-9025-AB2F0785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538560"/>
        <c:axId val="569540000"/>
      </c:lineChart>
      <c:catAx>
        <c:axId val="56953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1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AR"/>
          </a:p>
        </c:txPr>
        <c:crossAx val="569540000"/>
        <c:crosses val="autoZero"/>
        <c:auto val="1"/>
        <c:lblAlgn val="ctr"/>
        <c:lblOffset val="100"/>
        <c:noMultiLvlLbl val="0"/>
      </c:catAx>
      <c:valAx>
        <c:axId val="569540000"/>
        <c:scaling>
          <c:orientation val="minMax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crossAx val="56953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[Finanzas Personales 2025.xlsm]Registros!gastos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AR" sz="1400" i="1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Distribución de Gastos</a:t>
            </a:r>
          </a:p>
        </c:rich>
      </c:tx>
      <c:layout>
        <c:manualLayout>
          <c:xMode val="edge"/>
          <c:yMode val="edge"/>
          <c:x val="0.2085718083557766"/>
          <c:y val="4.88888888888888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none" lIns="38100" tIns="19050" rIns="38100" bIns="19050" anchor="ctr" anchorCtr="1">
              <a:spAutoFit/>
            </a:bodyPr>
            <a:lstStyle/>
            <a:p>
              <a:pPr>
                <a:defRPr sz="1050" b="0" i="1" u="none" strike="noStrike" kern="1200" baseline="0">
                  <a:ln w="3175">
                    <a:noFill/>
                    <a:round/>
                  </a:ln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2">
              <a:shade val="82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2">
              <a:shade val="65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2">
              <a:tint val="83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chemeClr val="accent2">
              <a:tint val="48000"/>
            </a:schemeClr>
          </a:solidFill>
          <a:ln>
            <a:noFill/>
          </a:ln>
          <a:effectLst/>
        </c:spPr>
      </c:pivotFmt>
      <c:pivotFmt>
        <c:idx val="13"/>
        <c:spPr>
          <a:solidFill>
            <a:schemeClr val="accent2">
              <a:shade val="47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chemeClr val="accent2">
              <a:tint val="65000"/>
            </a:schemeClr>
          </a:solidFill>
          <a:ln>
            <a:noFill/>
          </a:ln>
          <a:effectLst/>
        </c:spPr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</c:pivotFmt>
      <c:pivotFmt>
        <c:idx val="16"/>
        <c:spPr>
          <a:solidFill>
            <a:schemeClr val="accent2">
              <a:shade val="47000"/>
            </a:schemeClr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  <c:spPr>
          <a:solidFill>
            <a:schemeClr val="accent2"/>
          </a:solidFill>
          <a:ln>
            <a:noFill/>
          </a:ln>
          <a:effectLst/>
        </c:spPr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2104095192778792"/>
          <c:y val="0.26619422572178475"/>
          <c:w val="0.41394048863289484"/>
          <c:h val="0.49258932633420821"/>
        </c:manualLayout>
      </c:layout>
      <c:pieChart>
        <c:varyColors val="1"/>
        <c:ser>
          <c:idx val="0"/>
          <c:order val="0"/>
          <c:tx>
            <c:strRef>
              <c:f>'Registros'!$AV$7</c:f>
              <c:strCache>
                <c:ptCount val="1"/>
                <c:pt idx="0">
                  <c:v>Total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0F2-4227-937C-D9BA3FA9028B}"/>
              </c:ext>
            </c:extLst>
          </c:dPt>
          <c:dPt>
            <c:idx val="1"/>
            <c:bubble3D val="0"/>
            <c:spPr>
              <a:solidFill>
                <a:schemeClr val="accent2">
                  <a:tint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0F2-4227-937C-D9BA3FA9028B}"/>
              </c:ext>
            </c:extLst>
          </c:dPt>
          <c:dPt>
            <c:idx val="2"/>
            <c:bubble3D val="0"/>
            <c:spPr>
              <a:solidFill>
                <a:schemeClr val="accent2">
                  <a:tint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0F2-4227-937C-D9BA3FA9028B}"/>
              </c:ext>
            </c:extLst>
          </c:dPt>
          <c:dPt>
            <c:idx val="3"/>
            <c:bubble3D val="0"/>
            <c:spPr>
              <a:solidFill>
                <a:schemeClr val="accent2">
                  <a:tint val="9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0F2-4227-937C-D9BA3FA9028B}"/>
              </c:ext>
            </c:extLst>
          </c:dPt>
          <c:dPt>
            <c:idx val="4"/>
            <c:bubble3D val="0"/>
            <c:spPr>
              <a:solidFill>
                <a:schemeClr val="accent2">
                  <a:tint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0F2-4227-937C-D9BA3FA9028B}"/>
              </c:ext>
            </c:extLst>
          </c:dPt>
          <c:dPt>
            <c:idx val="5"/>
            <c:bubble3D val="0"/>
            <c:spPr>
              <a:solidFill>
                <a:schemeClr val="accent2">
                  <a:tint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0F2-4227-937C-D9BA3FA9028B}"/>
              </c:ext>
            </c:extLst>
          </c:dPt>
          <c:dPt>
            <c:idx val="6"/>
            <c:bubble3D val="0"/>
            <c:spPr>
              <a:solidFill>
                <a:schemeClr val="accent2">
                  <a:tint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668-4F40-AC06-2EBCC200443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50" b="0" i="1" u="none" strike="noStrike" kern="1200" baseline="0">
                    <a:ln w="3175">
                      <a:noFill/>
                      <a:round/>
                    </a:ln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'Registros'!$AU$8:$AU$9</c:f>
              <c:strCache>
                <c:ptCount val="1"/>
                <c:pt idx="0">
                  <c:v>Categoria de ejemplo</c:v>
                </c:pt>
              </c:strCache>
            </c:strRef>
          </c:cat>
          <c:val>
            <c:numRef>
              <c:f>'Registros'!$AV$8:$AV$9</c:f>
              <c:numCache>
                <c:formatCode>"$"#,##0_);\("$"#,##0\)</c:formatCode>
                <c:ptCount val="1"/>
                <c:pt idx="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F2-4227-937C-D9BA3FA90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s-AR" sz="1600" b="1" i="1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s-AR" sz="1600" b="1" i="1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rPr>
              <a:t>Disponible Semanal</a:t>
            </a:r>
          </a:p>
        </c:rich>
      </c:tx>
      <c:layout>
        <c:manualLayout>
          <c:xMode val="edge"/>
          <c:yMode val="edge"/>
          <c:x val="0.1726893484108879"/>
          <c:y val="6.0185185185185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s-AR" sz="1600" b="1" i="1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9.9688473520249218E-2"/>
          <c:y val="0.34810987168270635"/>
          <c:w val="0.80062305295950154"/>
          <c:h val="0.4809426946631670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'Registros'!$V$5</c:f>
              <c:strCache>
                <c:ptCount val="1"/>
                <c:pt idx="0">
                  <c:v>Gastos Acumulados</c:v>
                </c:pt>
              </c:strCache>
            </c:strRef>
          </c:tx>
          <c:spPr>
            <a:solidFill>
              <a:srgbClr val="FF9797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6565">
                  <a:alpha val="34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spc="0" baseline="0">
                    <a:ln>
                      <a:noFill/>
                    </a:ln>
                    <a:solidFill>
                      <a:srgbClr val="FF2525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'Registros'!$T$6:$T$9</c:f>
              <c:strCache>
                <c:ptCount val="4"/>
                <c:pt idx="0">
                  <c:v>Semana 1</c:v>
                </c:pt>
                <c:pt idx="1">
                  <c:v>Semana 2</c:v>
                </c:pt>
                <c:pt idx="2">
                  <c:v>Semana 3</c:v>
                </c:pt>
                <c:pt idx="3">
                  <c:v>Semana 4</c:v>
                </c:pt>
              </c:strCache>
            </c:strRef>
          </c:cat>
          <c:val>
            <c:numRef>
              <c:f>'Registros'!$V$6:$V$9</c:f>
              <c:numCache>
                <c:formatCode>"$"#,##0_);\("$"#,##0\)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8F-4078-BBEE-979EF26E3538}"/>
            </c:ext>
          </c:extLst>
        </c:ser>
        <c:ser>
          <c:idx val="2"/>
          <c:order val="2"/>
          <c:tx>
            <c:strRef>
              <c:f>'Registros'!$W$5</c:f>
              <c:strCache>
                <c:ptCount val="1"/>
                <c:pt idx="0">
                  <c:v>Saldo Restante</c:v>
                </c:pt>
              </c:strCache>
            </c:strRef>
          </c:tx>
          <c:spPr>
            <a:solidFill>
              <a:srgbClr val="98E28E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98E28E">
                  <a:alpha val="5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spc="0" baseline="0">
                    <a:solidFill>
                      <a:srgbClr val="00B05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'Registros'!$T$6:$T$9</c:f>
              <c:strCache>
                <c:ptCount val="4"/>
                <c:pt idx="0">
                  <c:v>Semana 1</c:v>
                </c:pt>
                <c:pt idx="1">
                  <c:v>Semana 2</c:v>
                </c:pt>
                <c:pt idx="2">
                  <c:v>Semana 3</c:v>
                </c:pt>
                <c:pt idx="3">
                  <c:v>Semana 4</c:v>
                </c:pt>
              </c:strCache>
            </c:strRef>
          </c:cat>
          <c:val>
            <c:numRef>
              <c:f>'Registros'!$W$6:$W$9</c:f>
              <c:numCache>
                <c:formatCode>"$"#,##0_);[Red]\("$"#,##0\)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8F-4078-BBEE-979EF26E3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94853471"/>
        <c:axId val="594852031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'Registros'!$U$5</c15:sqref>
                        </c15:formulaRef>
                      </c:ext>
                    </c:extLst>
                    <c:strCache>
                      <c:ptCount val="1"/>
                      <c:pt idx="0">
                        <c:v>Presupuesto Inicial</c:v>
                      </c:pt>
                    </c:strCache>
                  </c:strRef>
                </c:tx>
                <c:spPr>
                  <a:solidFill>
                    <a:srgbClr val="92D050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'Registros'!$T$6:$T$9</c15:sqref>
                        </c15:formulaRef>
                      </c:ext>
                    </c:extLst>
                    <c:strCache>
                      <c:ptCount val="4"/>
                      <c:pt idx="0">
                        <c:v>Semana 1</c:v>
                      </c:pt>
                      <c:pt idx="1">
                        <c:v>Semana 2</c:v>
                      </c:pt>
                      <c:pt idx="2">
                        <c:v>Semana 3</c:v>
                      </c:pt>
                      <c:pt idx="3">
                        <c:v>Semana 4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'Registros'!$U$6:$U$9</c15:sqref>
                        </c15:formulaRef>
                      </c:ext>
                    </c:extLst>
                    <c:numCache>
                      <c:formatCode>"$"#,##0_);[Red]\("$"#,##0\)</c:formatCode>
                      <c:ptCount val="4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408F-4078-BBEE-979EF26E3538}"/>
                  </c:ext>
                </c:extLst>
              </c15:ser>
            </c15:filteredBarSeries>
          </c:ext>
        </c:extLst>
      </c:barChart>
      <c:catAx>
        <c:axId val="594853471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1" i="1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AR"/>
          </a:p>
        </c:txPr>
        <c:crossAx val="594852031"/>
        <c:crosses val="autoZero"/>
        <c:auto val="1"/>
        <c:lblAlgn val="ctr"/>
        <c:lblOffset val="300"/>
        <c:noMultiLvlLbl val="0"/>
      </c:catAx>
      <c:valAx>
        <c:axId val="594852031"/>
        <c:scaling>
          <c:orientation val="maxMin"/>
        </c:scaling>
        <c:delete val="1"/>
        <c:axPos val="l"/>
        <c:numFmt formatCode="&quot;$&quot;#,##0_);\(&quot;$&quot;#,##0\)" sourceLinked="1"/>
        <c:majorTickMark val="none"/>
        <c:minorTickMark val="none"/>
        <c:tickLblPos val="nextTo"/>
        <c:crossAx val="594853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0983229900000805E-2"/>
          <c:y val="0.82442293671624378"/>
          <c:w val="0.85803354019999833"/>
          <c:h val="7.83548410615339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1" i="1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900" b="1" i="1" u="none" strike="noStrike" kern="1200" spc="0" baseline="0">
          <a:solidFill>
            <a:srgbClr val="FFECB3"/>
          </a:solidFill>
          <a:latin typeface="Century Gothic" panose="020B0502020202020204" pitchFamily="34" charset="0"/>
          <a:ea typeface="+mn-ea"/>
          <a:cs typeface="+mn-cs"/>
        </a:defRPr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s-AR" sz="1600" b="1" i="1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s-AR" sz="1600" b="1" i="1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rPr>
              <a:t>Variabilidad de Gastos</a:t>
            </a:r>
          </a:p>
        </c:rich>
      </c:tx>
      <c:layout>
        <c:manualLayout>
          <c:xMode val="edge"/>
          <c:yMode val="edge"/>
          <c:x val="0.15655008240249041"/>
          <c:y val="2.2507712851683012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s-AR" sz="1600" b="1" i="1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"/>
          <c:y val="0.19807585455326857"/>
          <c:w val="1"/>
          <c:h val="0.66577001678932102"/>
        </c:manualLayout>
      </c:layout>
      <c:areaChart>
        <c:grouping val="standard"/>
        <c:varyColors val="0"/>
        <c:ser>
          <c:idx val="0"/>
          <c:order val="0"/>
          <c:tx>
            <c:strRef>
              <c:f>'Registros'!$BI$5:$BJ$5</c:f>
              <c:strCache>
                <c:ptCount val="1"/>
                <c:pt idx="0">
                  <c:v>Mes Gastos</c:v>
                </c:pt>
              </c:strCache>
            </c:strRef>
          </c:tx>
          <c:spPr>
            <a:solidFill>
              <a:srgbClr val="FF6565"/>
            </a:solidFill>
            <a:ln>
              <a:solidFill>
                <a:srgbClr val="FF6565"/>
              </a:solidFill>
            </a:ln>
            <a:effectLst/>
          </c:spPr>
          <c:dLbls>
            <c:dLbl>
              <c:idx val="0"/>
              <c:tx>
                <c:rich>
                  <a:bodyPr/>
                  <a:lstStyle/>
                  <a:p>
                    <a:fld id="{EC121D8D-A428-4447-83BB-2C9286476055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F400-4BFC-9BDA-7926C49BE31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D0F1A7-149A-4F04-8B5E-4BC6B8CC9737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400-4BFC-9BDA-7926C49BE31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5151CB-34C6-40B4-AD3B-5F168F5A7421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400-4BFC-9BDA-7926C49BE31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6DB81A-FAAC-4D92-A7AC-ECDC087687D5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400-4BFC-9BDA-7926C49BE31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9F93B5-0239-403A-90E9-1E7ACE8290CE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400-4BFC-9BDA-7926C49BE31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95A0475-D53C-49E8-8051-CAE26484C495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400-4BFC-9BDA-7926C49BE31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4F1B136-05C3-46DA-BE50-EFF9BFFE934E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F400-4BFC-9BDA-7926C49BE31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03E6B35-CEF3-4979-B1CC-0F4AD2AEEACD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F400-4BFC-9BDA-7926C49BE31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BF216F4-0161-424C-A210-165CC7E4C0DE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F400-4BFC-9BDA-7926C49BE31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66BF87B-A31E-4CD3-9283-F4A03D8CB251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F400-4BFC-9BDA-7926C49BE31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EC01959-10B6-45FF-A9BD-7FDC733D7843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F400-4BFC-9BDA-7926C49BE31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1C497A-DEA6-437A-A243-C6FAEC2A9446}" type="CELLRANGE">
                      <a:rPr lang="es-AR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F400-4BFC-9BDA-7926C49BE3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'Registros'!$BI$6:$BI$17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'Registros'!$BJ$6:$BJ$17</c:f>
              <c:numCache>
                <c:formatCode>General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'Registros'!$BK$6:$BK$17</c15:f>
                <c15:dlblRangeCache>
                  <c:ptCount val="12"/>
                </c15:dlblRangeCache>
              </c15:datalabelsRange>
            </c:ext>
            <c:ext xmlns:c16="http://schemas.microsoft.com/office/drawing/2014/chart" uri="{C3380CC4-5D6E-409C-BE32-E72D297353CC}">
              <c16:uniqueId val="{0000000C-F400-4BFC-9BDA-7926C49BE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538560"/>
        <c:axId val="569540000"/>
      </c:areaChart>
      <c:catAx>
        <c:axId val="56953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800" b="1" i="1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AR"/>
          </a:p>
        </c:txPr>
        <c:crossAx val="569540000"/>
        <c:crosses val="autoZero"/>
        <c:auto val="1"/>
        <c:lblAlgn val="ctr"/>
        <c:lblOffset val="1"/>
        <c:tickLblSkip val="1"/>
        <c:tickMarkSkip val="1"/>
        <c:noMultiLvlLbl val="0"/>
      </c:catAx>
      <c:valAx>
        <c:axId val="569540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69538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'Registros'!$BN$5</c:f>
              <c:strCache>
                <c:ptCount val="1"/>
                <c:pt idx="0">
                  <c:v>Valor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0">
                    <a:srgbClr val="92D050"/>
                  </a:gs>
                  <a:gs pos="53000">
                    <a:srgbClr val="92D050"/>
                  </a:gs>
                  <a:gs pos="100000">
                    <a:srgbClr val="FFFF00"/>
                  </a:gs>
                </a:gsLst>
                <a:lin ang="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3F-471A-9416-45771410E4F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3F-471A-9416-45771410E4F9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11000">
                    <a:srgbClr val="FFFF00"/>
                  </a:gs>
                  <a:gs pos="50000">
                    <a:srgbClr val="FF6565"/>
                  </a:gs>
                  <a:gs pos="100000">
                    <a:srgbClr val="FF6565"/>
                  </a:gs>
                </a:gsLst>
                <a:lin ang="27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3F-471A-9416-45771410E4F9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3F-471A-9416-45771410E4F9}"/>
              </c:ext>
            </c:extLst>
          </c:dPt>
          <c:cat>
            <c:strRef>
              <c:f>'Registros'!$BM$6:$BM$9</c:f>
              <c:strCache>
                <c:ptCount val="4"/>
                <c:pt idx="0">
                  <c:v>Verde</c:v>
                </c:pt>
                <c:pt idx="1">
                  <c:v>Amarillo</c:v>
                </c:pt>
                <c:pt idx="2">
                  <c:v>Rojo</c:v>
                </c:pt>
                <c:pt idx="3">
                  <c:v>Resto del circulo (invisible)</c:v>
                </c:pt>
              </c:strCache>
            </c:strRef>
          </c:cat>
          <c:val>
            <c:numRef>
              <c:f>'Registros'!$BN$6:$BN$9</c:f>
              <c:numCache>
                <c:formatCode>General</c:formatCode>
                <c:ptCount val="4"/>
                <c:pt idx="0">
                  <c:v>100</c:v>
                </c:pt>
                <c:pt idx="1">
                  <c:v>20</c:v>
                </c:pt>
                <c:pt idx="2">
                  <c:v>60</c:v>
                </c:pt>
                <c:pt idx="3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D3F-471A-9416-45771410E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catterChart>
        <c:scatterStyle val="lineMarker"/>
        <c:varyColors val="0"/>
        <c:ser>
          <c:idx val="1"/>
          <c:order val="1"/>
          <c:tx>
            <c:v>Aguja</c:v>
          </c:tx>
          <c:spPr>
            <a:ln w="25400" cap="rnd">
              <a:solidFill>
                <a:schemeClr val="tx1"/>
              </a:solidFill>
              <a:miter lim="800000"/>
              <a:tailEnd type="stealth" w="med" len="med"/>
            </a:ln>
            <a:effectLst/>
          </c:spPr>
          <c:marker>
            <c:symbol val="triang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9-3D3F-471A-9416-45771410E4F9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3D3F-471A-9416-45771410E4F9}"/>
              </c:ext>
            </c:extLst>
          </c:dPt>
          <c:xVal>
            <c:numRef>
              <c:f>'Registros'!$BN$28:$BO$28</c:f>
              <c:numCache>
                <c:formatCode>General</c:formatCode>
                <c:ptCount val="2"/>
                <c:pt idx="0">
                  <c:v>0</c:v>
                </c:pt>
                <c:pt idx="1">
                  <c:v>-1</c:v>
                </c:pt>
              </c:numCache>
            </c:numRef>
          </c:xVal>
          <c:yVal>
            <c:numRef>
              <c:f>'Registros'!$BN$29:$BO$29</c:f>
              <c:numCache>
                <c:formatCode>General</c:formatCode>
                <c:ptCount val="2"/>
                <c:pt idx="0">
                  <c:v>0</c:v>
                </c:pt>
                <c:pt idx="1">
                  <c:v>1.22514845490862E-16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D3F-471A-9416-45771410E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0220368"/>
        <c:axId val="840219888"/>
      </c:scatterChart>
      <c:valAx>
        <c:axId val="840219888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840220368"/>
        <c:crosses val="autoZero"/>
        <c:crossBetween val="midCat"/>
      </c:valAx>
      <c:valAx>
        <c:axId val="840220368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84021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 Personales 2025.xlsm]Registros!gastos_diarios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s-AR" sz="1600" b="1" i="1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600" b="1" i="1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rPr>
              <a:t>Gasto por día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s-AR" sz="1600" b="1" i="1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6565"/>
            </a:solidFill>
            <a:round/>
          </a:ln>
          <a:effectLst/>
        </c:spPr>
        <c:marker>
          <c:symbol val="circle"/>
          <c:size val="5"/>
          <c:spPr>
            <a:solidFill>
              <a:srgbClr val="FF6565"/>
            </a:solidFill>
            <a:ln w="9525">
              <a:solidFill>
                <a:srgbClr val="FF6565"/>
              </a:solidFill>
            </a:ln>
            <a:effectLst/>
          </c:spPr>
        </c:marker>
        <c:dLbl>
          <c:idx val="0"/>
          <c:numFmt formatCode="&quot;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'Registros'!$BD$7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FF656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565"/>
              </a:solidFill>
              <a:ln w="9525">
                <a:solidFill>
                  <a:srgbClr val="FF6565"/>
                </a:solidFill>
              </a:ln>
              <a:effectLst/>
            </c:spPr>
          </c:marker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'Registros'!$BC$8:$BC$9</c:f>
              <c:strCache>
                <c:ptCount val="1"/>
                <c:pt idx="0">
                  <c:v>1-ene</c:v>
                </c:pt>
              </c:strCache>
            </c:strRef>
          </c:cat>
          <c:val>
            <c:numRef>
              <c:f>'Registros'!$BD$8:$BD$9</c:f>
              <c:numCache>
                <c:formatCode>"$"#,##0_);\("$"#,##0\)</c:formatCode>
                <c:ptCount val="1"/>
                <c:pt idx="0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83-45DE-8A50-D633337A7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5407775"/>
        <c:axId val="1335408255"/>
      </c:lineChart>
      <c:catAx>
        <c:axId val="1335407775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1" i="1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AR"/>
          </a:p>
        </c:txPr>
        <c:crossAx val="1335408255"/>
        <c:crosses val="max"/>
        <c:auto val="1"/>
        <c:lblAlgn val="ctr"/>
        <c:lblOffset val="1"/>
        <c:tickMarkSkip val="1"/>
        <c:noMultiLvlLbl val="0"/>
      </c:catAx>
      <c:valAx>
        <c:axId val="1335408255"/>
        <c:scaling>
          <c:orientation val="maxMin"/>
        </c:scaling>
        <c:delete val="1"/>
        <c:axPos val="l"/>
        <c:numFmt formatCode="&quot;$&quot;#,##0_);\(&quot;$&quot;#,##0\)" sourceLinked="1"/>
        <c:majorTickMark val="out"/>
        <c:minorTickMark val="none"/>
        <c:tickLblPos val="nextTo"/>
        <c:crossAx val="1335407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s-AR" sz="1400" b="1" i="1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s-AR" sz="1400" b="1" i="1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rPr>
              <a:t>Billeteras</a:t>
            </a:r>
          </a:p>
        </c:rich>
      </c:tx>
      <c:layout>
        <c:manualLayout>
          <c:xMode val="edge"/>
          <c:yMode val="edge"/>
          <c:x val="0.34185404339250486"/>
          <c:y val="4.41988950276243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5732575094779819"/>
          <c:y val="0.23048059512642075"/>
          <c:w val="0.74267424905220181"/>
          <c:h val="0.769519135689434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'Registros'!$BX$6:$BX$9</c:f>
              <c:strCache>
                <c:ptCount val="1"/>
                <c:pt idx="0">
                  <c:v>Efectivo</c:v>
                </c:pt>
              </c:strCache>
            </c:strRef>
          </c:cat>
          <c:val>
            <c:numRef>
              <c:f>'Registros'!$BY$6:$BY$9</c:f>
              <c:numCache>
                <c:formatCode>"$"#,##0_);\("$"#,##0\)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D9-4BD2-BAAD-C1D1343B9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599170287"/>
        <c:axId val="1599171247"/>
      </c:barChart>
      <c:catAx>
        <c:axId val="159917028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800" b="1" i="1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AR"/>
          </a:p>
        </c:txPr>
        <c:crossAx val="1599171247"/>
        <c:crosses val="autoZero"/>
        <c:auto val="1"/>
        <c:lblAlgn val="ctr"/>
        <c:lblOffset val="100"/>
        <c:noMultiLvlLbl val="0"/>
      </c:catAx>
      <c:valAx>
        <c:axId val="1599171247"/>
        <c:scaling>
          <c:orientation val="minMax"/>
        </c:scaling>
        <c:delete val="1"/>
        <c:axPos val="t"/>
        <c:numFmt formatCode="&quot;$&quot;#,##0_);\(&quot;$&quot;#,##0\)" sourceLinked="1"/>
        <c:majorTickMark val="none"/>
        <c:minorTickMark val="none"/>
        <c:tickLblPos val="nextTo"/>
        <c:crossAx val="159917028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s-AR" sz="1400" b="1" i="1" u="none" strike="noStrike" kern="1200" spc="0" baseline="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s-AR" sz="1400" b="1" i="1" u="none" strike="noStrike" kern="1200" spc="0" baseline="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+mn-cs"/>
              </a:rPr>
              <a:t>Reservas</a:t>
            </a:r>
          </a:p>
        </c:rich>
      </c:tx>
      <c:layout>
        <c:manualLayout>
          <c:xMode val="edge"/>
          <c:yMode val="edge"/>
          <c:x val="0.12095804538194194"/>
          <c:y val="4.34782092916351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s-AR" sz="1400" b="1" i="1" u="none" strike="noStrike" kern="1200" spc="0" baseline="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26461091446138041"/>
          <c:y val="0.25739816421252432"/>
          <c:w val="0.73538908553861959"/>
          <c:h val="0.7426018357874757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FFD52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1" i="0" u="none" strike="noStrike" kern="1200" baseline="0">
                    <a:solidFill>
                      <a:schemeClr val="tx1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'Registros'!$BS$6:$BS$9</c:f>
              <c:strCache>
                <c:ptCount val="1"/>
                <c:pt idx="0">
                  <c:v>Reserva de ejemplo</c:v>
                </c:pt>
              </c:strCache>
            </c:strRef>
          </c:cat>
          <c:val>
            <c:numRef>
              <c:f>'Registros'!$BT$6:$BT$9</c:f>
              <c:numCache>
                <c:formatCode>"$"#,##0_);\("$"#,##0\)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2C-4532-B594-3F77DD232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359281023"/>
        <c:axId val="1359257023"/>
      </c:barChart>
      <c:catAx>
        <c:axId val="135928102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1" i="1" u="none" strike="noStrike" kern="1200" baseline="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AR"/>
          </a:p>
        </c:txPr>
        <c:crossAx val="1359257023"/>
        <c:crosses val="autoZero"/>
        <c:auto val="1"/>
        <c:lblAlgn val="ctr"/>
        <c:lblOffset val="100"/>
        <c:noMultiLvlLbl val="0"/>
      </c:catAx>
      <c:valAx>
        <c:axId val="1359257023"/>
        <c:scaling>
          <c:orientation val="minMax"/>
        </c:scaling>
        <c:delete val="1"/>
        <c:axPos val="t"/>
        <c:numFmt formatCode="&quot;$&quot;#,##0_);\(&quot;$&quot;#,##0\)" sourceLinked="1"/>
        <c:majorTickMark val="none"/>
        <c:minorTickMark val="none"/>
        <c:tickLblPos val="nextTo"/>
        <c:crossAx val="1359281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 Personales 2025.xlsm]Registros!gastos_fijos_meses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1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600" b="1" i="1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rPr>
              <a:t>Gastos Fijos Mensuales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6565"/>
            </a:solidFill>
            <a:round/>
          </a:ln>
          <a:effectLst/>
        </c:spPr>
        <c:marker>
          <c:symbol val="circle"/>
          <c:size val="5"/>
          <c:spPr>
            <a:solidFill>
              <a:srgbClr val="FF6565"/>
            </a:solidFill>
            <a:ln w="9525">
              <a:solidFill>
                <a:srgbClr val="FF656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'Registros'!$CE$8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FF656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565"/>
              </a:solidFill>
              <a:ln w="9525">
                <a:solidFill>
                  <a:srgbClr val="FF656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'Registros'!$CD$9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'Registros'!$CE$9</c:f>
              <c:numCache>
                <c:formatCode>"$"#,##0_);\("$"#,##0\)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E-40CF-9EC4-3F789F6A0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556000"/>
        <c:axId val="116541600"/>
      </c:lineChart>
      <c:catAx>
        <c:axId val="11655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800" b="1" i="1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AR"/>
          </a:p>
        </c:txPr>
        <c:crossAx val="116541600"/>
        <c:crosses val="max"/>
        <c:auto val="1"/>
        <c:lblAlgn val="ctr"/>
        <c:lblOffset val="100"/>
        <c:noMultiLvlLbl val="0"/>
      </c:catAx>
      <c:valAx>
        <c:axId val="116541600"/>
        <c:scaling>
          <c:orientation val="maxMin"/>
          <c:max val="0"/>
        </c:scaling>
        <c:delete val="1"/>
        <c:axPos val="l"/>
        <c:numFmt formatCode="&quot;$&quot;#,##0_);\(&quot;$&quot;#,##0\)" sourceLinked="1"/>
        <c:majorTickMark val="none"/>
        <c:minorTickMark val="none"/>
        <c:tickLblPos val="nextTo"/>
        <c:crossAx val="11655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s-AR" sz="1600" b="1" i="1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s-AR" sz="1600" b="1" i="1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rPr>
              <a:t>Gastos Fijos</a:t>
            </a:r>
          </a:p>
        </c:rich>
      </c:tx>
      <c:layout>
        <c:manualLayout>
          <c:xMode val="edge"/>
          <c:yMode val="edge"/>
          <c:x val="7.2013034887492999E-2"/>
          <c:y val="6.951026856240126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2413548025597924"/>
          <c:y val="0.26932069510268564"/>
          <c:w val="0.77586451974402071"/>
          <c:h val="0.6927646129541864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FF979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0">
                <a:spAutoFit/>
              </a:bodyPr>
              <a:lstStyle/>
              <a:p>
                <a:pPr algn="ctr">
                  <a:defRPr lang="en-US" sz="1050" b="1" i="0" u="none" strike="noStrike" kern="1200" baseline="0">
                    <a:solidFill>
                      <a:srgbClr val="FF4343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multiLvlStrRef>
              <c:f>'Registros'!$CI$6:$CI$10</c:f>
            </c:multiLvlStrRef>
          </c:cat>
          <c:val>
            <c:numRef>
              <c:f>'Registros'!$CJ$6:$CJ$10</c:f>
              <c:numCache>
                <c:formatCode>"$"#,##0_);\("$"#,##0\)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DE-425C-99E3-056749A18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04514816"/>
        <c:axId val="1485378016"/>
      </c:barChart>
      <c:catAx>
        <c:axId val="104514816"/>
        <c:scaling>
          <c:orientation val="maxMin"/>
        </c:scaling>
        <c:delete val="0"/>
        <c:axPos val="r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800" b="1" i="1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AR"/>
          </a:p>
        </c:txPr>
        <c:crossAx val="1485378016"/>
        <c:crosses val="autoZero"/>
        <c:auto val="1"/>
        <c:lblAlgn val="ctr"/>
        <c:lblOffset val="100"/>
        <c:noMultiLvlLbl val="0"/>
      </c:catAx>
      <c:valAx>
        <c:axId val="1485378016"/>
        <c:scaling>
          <c:orientation val="maxMin"/>
        </c:scaling>
        <c:delete val="1"/>
        <c:axPos val="b"/>
        <c:numFmt formatCode="&quot;$&quot;#,##0_);\(&quot;$&quot;#,##0\)" sourceLinked="1"/>
        <c:majorTickMark val="none"/>
        <c:minorTickMark val="none"/>
        <c:tickLblPos val="nextTo"/>
        <c:crossAx val="104514816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106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 mods="ignoreCSTransforms">
      <cs:styleClr val="0">
        <a:shade val="25000"/>
      </cs:styl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 mods="ignoreCSTransforms">
      <cs:styleClr val="0">
        <a:tint val="25000"/>
      </cs:styl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'Registros'!$AY$6" max="1" min="1" page="0"/>
</file>

<file path=xl/ctrlProps/ctrlProp2.xml><?xml version="1.0" encoding="utf-8"?>
<formControlPr xmlns="http://schemas.microsoft.com/office/spreadsheetml/2009/9/main" objectType="Scroll" dx="22" fmlaLink="'Registros'!$BR$6" max="1" min="1" page="0"/>
</file>

<file path=xl/ctrlProps/ctrlProp3.xml><?xml version="1.0" encoding="utf-8"?>
<formControlPr xmlns="http://schemas.microsoft.com/office/spreadsheetml/2009/9/main" objectType="Scroll" dx="22" fmlaLink="'Registros'!$BW$6" max="1" min="1" page="0"/>
</file>

<file path=xl/ctrlProps/ctrlProp4.xml><?xml version="1.0" encoding="utf-8"?>
<formControlPr xmlns="http://schemas.microsoft.com/office/spreadsheetml/2009/9/main" objectType="Scroll" dx="22" fmlaLink="'Registros'!$CH$6" max="1" min="1" page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microsoft.com/office/2007/relationships/hdphoto" Target="../media/hdphoto1.wdp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7.xml"/><Relationship Id="rId26" Type="http://schemas.openxmlformats.org/officeDocument/2006/relationships/image" Target="../media/image21.png"/><Relationship Id="rId3" Type="http://schemas.openxmlformats.org/officeDocument/2006/relationships/image" Target="../media/image8.png"/><Relationship Id="rId21" Type="http://schemas.openxmlformats.org/officeDocument/2006/relationships/chart" Target="../charts/chart8.xml"/><Relationship Id="rId34" Type="http://schemas.openxmlformats.org/officeDocument/2006/relationships/chart" Target="../charts/chart11.xml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17" Type="http://schemas.openxmlformats.org/officeDocument/2006/relationships/image" Target="../media/image16.png"/><Relationship Id="rId25" Type="http://schemas.openxmlformats.org/officeDocument/2006/relationships/image" Target="../media/image20.png"/><Relationship Id="rId33" Type="http://schemas.openxmlformats.org/officeDocument/2006/relationships/image" Target="../media/image25.png"/><Relationship Id="rId2" Type="http://schemas.openxmlformats.org/officeDocument/2006/relationships/image" Target="../media/image1.png"/><Relationship Id="rId16" Type="http://schemas.openxmlformats.org/officeDocument/2006/relationships/chart" Target="../charts/chart6.xml"/><Relationship Id="rId20" Type="http://schemas.openxmlformats.org/officeDocument/2006/relationships/image" Target="../media/image18.png"/><Relationship Id="rId29" Type="http://schemas.openxmlformats.org/officeDocument/2006/relationships/image" Target="../media/image23.png"/><Relationship Id="rId1" Type="http://schemas.openxmlformats.org/officeDocument/2006/relationships/image" Target="../media/image7.png"/><Relationship Id="rId6" Type="http://schemas.openxmlformats.org/officeDocument/2006/relationships/chart" Target="../charts/chart1.xml"/><Relationship Id="rId11" Type="http://schemas.openxmlformats.org/officeDocument/2006/relationships/image" Target="../media/image13.png"/><Relationship Id="rId24" Type="http://schemas.openxmlformats.org/officeDocument/2006/relationships/image" Target="../media/image2.png"/><Relationship Id="rId32" Type="http://schemas.openxmlformats.org/officeDocument/2006/relationships/image" Target="../media/image24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chart" Target="../charts/chart9.xml"/><Relationship Id="rId28" Type="http://schemas.microsoft.com/office/2007/relationships/hdphoto" Target="../media/hdphoto2.wdp"/><Relationship Id="rId10" Type="http://schemas.openxmlformats.org/officeDocument/2006/relationships/chart" Target="../charts/chart3.xml"/><Relationship Id="rId19" Type="http://schemas.openxmlformats.org/officeDocument/2006/relationships/image" Target="../media/image17.png"/><Relationship Id="rId31" Type="http://schemas.openxmlformats.org/officeDocument/2006/relationships/chart" Target="../charts/chart10.xml"/><Relationship Id="rId4" Type="http://schemas.openxmlformats.org/officeDocument/2006/relationships/image" Target="../media/image9.png"/><Relationship Id="rId9" Type="http://schemas.openxmlformats.org/officeDocument/2006/relationships/image" Target="../media/image12.png"/><Relationship Id="rId14" Type="http://schemas.openxmlformats.org/officeDocument/2006/relationships/chart" Target="../charts/chart5.xml"/><Relationship Id="rId22" Type="http://schemas.openxmlformats.org/officeDocument/2006/relationships/image" Target="../media/image19.png"/><Relationship Id="rId27" Type="http://schemas.openxmlformats.org/officeDocument/2006/relationships/image" Target="../media/image22.png"/><Relationship Id="rId30" Type="http://schemas.microsoft.com/office/2007/relationships/hdphoto" Target="../media/hdphoto3.wdp"/><Relationship Id="rId8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1</xdr:row>
      <xdr:rowOff>38100</xdr:rowOff>
    </xdr:from>
    <xdr:to>
      <xdr:col>3</xdr:col>
      <xdr:colOff>495299</xdr:colOff>
      <xdr:row>3</xdr:row>
      <xdr:rowOff>85725</xdr:rowOff>
    </xdr:to>
    <xdr:sp macro="" textlink="">
      <xdr:nvSpPr>
        <xdr:cNvPr id="3" name="Paralelogramo 2">
          <a:extLst>
            <a:ext uri="{FF2B5EF4-FFF2-40B4-BE49-F238E27FC236}">
              <a16:creationId xmlns:a16="http://schemas.microsoft.com/office/drawing/2014/main" id="{C1E47009-38F2-41C3-A791-6159635DFD0D}"/>
            </a:ext>
          </a:extLst>
        </xdr:cNvPr>
        <xdr:cNvSpPr/>
      </xdr:nvSpPr>
      <xdr:spPr>
        <a:xfrm>
          <a:off x="304800" y="228600"/>
          <a:ext cx="3028949" cy="428625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 i="1" kern="1200">
              <a:solidFill>
                <a:schemeClr val="accent4"/>
              </a:solidFill>
              <a:latin typeface="Century Gothic" panose="020B0502020202020204" pitchFamily="34" charset="0"/>
            </a:rPr>
            <a:t>REGISTROS</a:t>
          </a:r>
          <a:endParaRPr lang="es-AR" sz="1100" b="1" i="1" kern="1200">
            <a:solidFill>
              <a:schemeClr val="accent4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5</xdr:col>
      <xdr:colOff>333375</xdr:colOff>
      <xdr:row>1</xdr:row>
      <xdr:rowOff>38100</xdr:rowOff>
    </xdr:from>
    <xdr:to>
      <xdr:col>7</xdr:col>
      <xdr:colOff>0</xdr:colOff>
      <xdr:row>3</xdr:row>
      <xdr:rowOff>85725</xdr:rowOff>
    </xdr:to>
    <xdr:sp macro="" textlink="">
      <xdr:nvSpPr>
        <xdr:cNvPr id="4" name="Paralelogramo 3">
          <a:extLst>
            <a:ext uri="{FF2B5EF4-FFF2-40B4-BE49-F238E27FC236}">
              <a16:creationId xmlns:a16="http://schemas.microsoft.com/office/drawing/2014/main" id="{18EF7165-18B3-4D02-BC7D-815AD078C55E}"/>
            </a:ext>
          </a:extLst>
        </xdr:cNvPr>
        <xdr:cNvSpPr/>
      </xdr:nvSpPr>
      <xdr:spPr>
        <a:xfrm>
          <a:off x="5057775" y="228600"/>
          <a:ext cx="1400175" cy="428625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 i="1" kern="1200">
              <a:solidFill>
                <a:schemeClr val="accent4"/>
              </a:solidFill>
              <a:latin typeface="Century Gothic" panose="020B0502020202020204" pitchFamily="34" charset="0"/>
            </a:rPr>
            <a:t>GASTOS</a:t>
          </a:r>
          <a:endParaRPr lang="es-AR" sz="1000" b="1" i="1" kern="1200">
            <a:solidFill>
              <a:schemeClr val="accent4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323850</xdr:colOff>
      <xdr:row>0</xdr:row>
      <xdr:rowOff>76200</xdr:rowOff>
    </xdr:from>
    <xdr:to>
      <xdr:col>1</xdr:col>
      <xdr:colOff>0</xdr:colOff>
      <xdr:row>2</xdr:row>
      <xdr:rowOff>19050</xdr:rowOff>
    </xdr:to>
    <xdr:pic macro="[0]!explicacion_tabla_registros">
      <xdr:nvPicPr>
        <xdr:cNvPr id="5" name="Imagen 4">
          <a:extLst>
            <a:ext uri="{FF2B5EF4-FFF2-40B4-BE49-F238E27FC236}">
              <a16:creationId xmlns:a16="http://schemas.microsoft.com/office/drawing/2014/main" id="{9076ED89-95D7-4C20-8C8B-4F40B5367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850" y="76200"/>
          <a:ext cx="323850" cy="32385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6</xdr:col>
      <xdr:colOff>38100</xdr:colOff>
      <xdr:row>0</xdr:row>
      <xdr:rowOff>76200</xdr:rowOff>
    </xdr:from>
    <xdr:to>
      <xdr:col>6</xdr:col>
      <xdr:colOff>361950</xdr:colOff>
      <xdr:row>2</xdr:row>
      <xdr:rowOff>19050</xdr:rowOff>
    </xdr:to>
    <xdr:pic macro="[0]!explicacion_categoria_gastos">
      <xdr:nvPicPr>
        <xdr:cNvPr id="6" name="Imagen 5">
          <a:extLst>
            <a:ext uri="{FF2B5EF4-FFF2-40B4-BE49-F238E27FC236}">
              <a16:creationId xmlns:a16="http://schemas.microsoft.com/office/drawing/2014/main" id="{3CB2A97B-1852-A1E9-5A0B-5DAB082A2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76200"/>
          <a:ext cx="323850" cy="32385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8</xdr:col>
      <xdr:colOff>219075</xdr:colOff>
      <xdr:row>1</xdr:row>
      <xdr:rowOff>38100</xdr:rowOff>
    </xdr:from>
    <xdr:to>
      <xdr:col>9</xdr:col>
      <xdr:colOff>1295400</xdr:colOff>
      <xdr:row>3</xdr:row>
      <xdr:rowOff>85725</xdr:rowOff>
    </xdr:to>
    <xdr:sp macro="" textlink="">
      <xdr:nvSpPr>
        <xdr:cNvPr id="7" name="Paralelogramo 6">
          <a:extLst>
            <a:ext uri="{FF2B5EF4-FFF2-40B4-BE49-F238E27FC236}">
              <a16:creationId xmlns:a16="http://schemas.microsoft.com/office/drawing/2014/main" id="{F07314F9-CF39-1BC1-12A5-4DCF7EE5BCAA}"/>
            </a:ext>
          </a:extLst>
        </xdr:cNvPr>
        <xdr:cNvSpPr/>
      </xdr:nvSpPr>
      <xdr:spPr>
        <a:xfrm>
          <a:off x="6886575" y="228600"/>
          <a:ext cx="1400175" cy="428625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 i="1" kern="1200">
              <a:solidFill>
                <a:schemeClr val="accent4"/>
              </a:solidFill>
              <a:latin typeface="Century Gothic" panose="020B0502020202020204" pitchFamily="34" charset="0"/>
            </a:rPr>
            <a:t>DISPONIBLE</a:t>
          </a:r>
          <a:endParaRPr lang="es-AR" sz="1100" b="1" i="1" kern="1200">
            <a:solidFill>
              <a:schemeClr val="accent4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8</xdr:col>
      <xdr:colOff>247650</xdr:colOff>
      <xdr:row>0</xdr:row>
      <xdr:rowOff>76200</xdr:rowOff>
    </xdr:from>
    <xdr:to>
      <xdr:col>9</xdr:col>
      <xdr:colOff>247650</xdr:colOff>
      <xdr:row>2</xdr:row>
      <xdr:rowOff>19050</xdr:rowOff>
    </xdr:to>
    <xdr:pic macro="[0]!explicacion_dinero_inicial_disponible">
      <xdr:nvPicPr>
        <xdr:cNvPr id="10" name="Imagen 9">
          <a:extLst>
            <a:ext uri="{FF2B5EF4-FFF2-40B4-BE49-F238E27FC236}">
              <a16:creationId xmlns:a16="http://schemas.microsoft.com/office/drawing/2014/main" id="{BD82E552-FA61-8F36-90E7-6B3F98C15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76200"/>
          <a:ext cx="323850" cy="32385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11</xdr:col>
      <xdr:colOff>133351</xdr:colOff>
      <xdr:row>1</xdr:row>
      <xdr:rowOff>38100</xdr:rowOff>
    </xdr:from>
    <xdr:to>
      <xdr:col>13</xdr:col>
      <xdr:colOff>838200</xdr:colOff>
      <xdr:row>3</xdr:row>
      <xdr:rowOff>85725</xdr:rowOff>
    </xdr:to>
    <xdr:sp macro="" textlink="">
      <xdr:nvSpPr>
        <xdr:cNvPr id="13" name="Paralelogramo 12">
          <a:extLst>
            <a:ext uri="{FF2B5EF4-FFF2-40B4-BE49-F238E27FC236}">
              <a16:creationId xmlns:a16="http://schemas.microsoft.com/office/drawing/2014/main" id="{DED92CEF-DC1A-0936-D477-242909274DCB}"/>
            </a:ext>
          </a:extLst>
        </xdr:cNvPr>
        <xdr:cNvSpPr/>
      </xdr:nvSpPr>
      <xdr:spPr>
        <a:xfrm>
          <a:off x="9086851" y="228600"/>
          <a:ext cx="2047874" cy="428625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 i="1" kern="1200">
              <a:solidFill>
                <a:schemeClr val="accent4"/>
              </a:solidFill>
              <a:latin typeface="Century Gothic" panose="020B0502020202020204" pitchFamily="34" charset="0"/>
            </a:rPr>
            <a:t>IPC</a:t>
          </a:r>
          <a:endParaRPr lang="es-AR" sz="1100" b="1" i="1" kern="1200">
            <a:solidFill>
              <a:schemeClr val="accent4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11</xdr:col>
      <xdr:colOff>161925</xdr:colOff>
      <xdr:row>0</xdr:row>
      <xdr:rowOff>76200</xdr:rowOff>
    </xdr:from>
    <xdr:to>
      <xdr:col>11</xdr:col>
      <xdr:colOff>485775</xdr:colOff>
      <xdr:row>2</xdr:row>
      <xdr:rowOff>19050</xdr:rowOff>
    </xdr:to>
    <xdr:pic macro="[0]!explicacion_inflacion_IPC">
      <xdr:nvPicPr>
        <xdr:cNvPr id="14" name="Imagen 13">
          <a:extLst>
            <a:ext uri="{FF2B5EF4-FFF2-40B4-BE49-F238E27FC236}">
              <a16:creationId xmlns:a16="http://schemas.microsoft.com/office/drawing/2014/main" id="{BFD9EE0E-C14F-0F9E-8B74-D1A51A7BD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15425" y="76200"/>
          <a:ext cx="323850" cy="32385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19</xdr:col>
      <xdr:colOff>333375</xdr:colOff>
      <xdr:row>0</xdr:row>
      <xdr:rowOff>95251</xdr:rowOff>
    </xdr:from>
    <xdr:to>
      <xdr:col>22</xdr:col>
      <xdr:colOff>314325</xdr:colOff>
      <xdr:row>3</xdr:row>
      <xdr:rowOff>104777</xdr:rowOff>
    </xdr:to>
    <xdr:sp macro="" textlink="">
      <xdr:nvSpPr>
        <xdr:cNvPr id="8" name="Paralelogramo 7">
          <a:extLst>
            <a:ext uri="{FF2B5EF4-FFF2-40B4-BE49-F238E27FC236}">
              <a16:creationId xmlns:a16="http://schemas.microsoft.com/office/drawing/2014/main" id="{77CCF2C3-709E-4027-9152-D70AEF08551B}"/>
            </a:ext>
          </a:extLst>
        </xdr:cNvPr>
        <xdr:cNvSpPr/>
      </xdr:nvSpPr>
      <xdr:spPr>
        <a:xfrm>
          <a:off x="12811125" y="95251"/>
          <a:ext cx="3038475" cy="58102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1" kern="1200">
              <a:solidFill>
                <a:schemeClr val="accent4"/>
              </a:solidFill>
              <a:latin typeface="Century Gothic" panose="020B0502020202020204" pitchFamily="34" charset="0"/>
            </a:rPr>
            <a:t>tabla</a:t>
          </a:r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 del grafico de dinero disponible semanal</a:t>
          </a:r>
          <a:endParaRPr lang="es-AR" sz="1050" b="1" i="1" kern="1200">
            <a:solidFill>
              <a:schemeClr val="accent4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23</xdr:col>
      <xdr:colOff>723900</xdr:colOff>
      <xdr:row>0</xdr:row>
      <xdr:rowOff>95251</xdr:rowOff>
    </xdr:from>
    <xdr:to>
      <xdr:col>25</xdr:col>
      <xdr:colOff>171450</xdr:colOff>
      <xdr:row>3</xdr:row>
      <xdr:rowOff>104777</xdr:rowOff>
    </xdr:to>
    <xdr:sp macro="" textlink="">
      <xdr:nvSpPr>
        <xdr:cNvPr id="9" name="Paralelogramo 8">
          <a:extLst>
            <a:ext uri="{FF2B5EF4-FFF2-40B4-BE49-F238E27FC236}">
              <a16:creationId xmlns:a16="http://schemas.microsoft.com/office/drawing/2014/main" id="{3220915C-BEE5-7A4C-1FEF-B3DAD9DC4942}"/>
            </a:ext>
          </a:extLst>
        </xdr:cNvPr>
        <xdr:cNvSpPr/>
      </xdr:nvSpPr>
      <xdr:spPr>
        <a:xfrm>
          <a:off x="17202150" y="95251"/>
          <a:ext cx="1647825" cy="58102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1" kern="1200">
              <a:solidFill>
                <a:schemeClr val="accent4"/>
              </a:solidFill>
              <a:latin typeface="Century Gothic" panose="020B0502020202020204" pitchFamily="34" charset="0"/>
            </a:rPr>
            <a:t>rangos de nombre</a:t>
          </a:r>
        </a:p>
      </xdr:txBody>
    </xdr:sp>
    <xdr:clientData/>
  </xdr:twoCellAnchor>
  <xdr:twoCellAnchor>
    <xdr:from>
      <xdr:col>26</xdr:col>
      <xdr:colOff>0</xdr:colOff>
      <xdr:row>0</xdr:row>
      <xdr:rowOff>95251</xdr:rowOff>
    </xdr:from>
    <xdr:to>
      <xdr:col>27</xdr:col>
      <xdr:colOff>752475</xdr:colOff>
      <xdr:row>3</xdr:row>
      <xdr:rowOff>104777</xdr:rowOff>
    </xdr:to>
    <xdr:sp macro="" textlink="">
      <xdr:nvSpPr>
        <xdr:cNvPr id="15" name="Paralelogramo 14">
          <a:extLst>
            <a:ext uri="{FF2B5EF4-FFF2-40B4-BE49-F238E27FC236}">
              <a16:creationId xmlns:a16="http://schemas.microsoft.com/office/drawing/2014/main" id="{7EB252E0-F0AB-C315-A971-E0C705C2AFCB}"/>
            </a:ext>
          </a:extLst>
        </xdr:cNvPr>
        <xdr:cNvSpPr/>
      </xdr:nvSpPr>
      <xdr:spPr>
        <a:xfrm>
          <a:off x="19021425" y="95251"/>
          <a:ext cx="1647825" cy="58102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1" kern="1200">
              <a:solidFill>
                <a:schemeClr val="accent4"/>
              </a:solidFill>
              <a:latin typeface="Century Gothic" panose="020B0502020202020204" pitchFamily="34" charset="0"/>
            </a:rPr>
            <a:t>tabla</a:t>
          </a:r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 de billeteras</a:t>
          </a:r>
          <a:endParaRPr lang="es-AR" sz="1100" b="1" i="1" kern="1200">
            <a:solidFill>
              <a:schemeClr val="accent4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28</xdr:col>
      <xdr:colOff>200025</xdr:colOff>
      <xdr:row>0</xdr:row>
      <xdr:rowOff>95251</xdr:rowOff>
    </xdr:from>
    <xdr:to>
      <xdr:col>31</xdr:col>
      <xdr:colOff>28575</xdr:colOff>
      <xdr:row>3</xdr:row>
      <xdr:rowOff>104777</xdr:rowOff>
    </xdr:to>
    <xdr:sp macro="" textlink="">
      <xdr:nvSpPr>
        <xdr:cNvPr id="16" name="Paralelogramo 15">
          <a:extLst>
            <a:ext uri="{FF2B5EF4-FFF2-40B4-BE49-F238E27FC236}">
              <a16:creationId xmlns:a16="http://schemas.microsoft.com/office/drawing/2014/main" id="{265199AF-E7A1-D590-CA3D-526250F4F4CF}"/>
            </a:ext>
          </a:extLst>
        </xdr:cNvPr>
        <xdr:cNvSpPr/>
      </xdr:nvSpPr>
      <xdr:spPr>
        <a:xfrm>
          <a:off x="20907375" y="95251"/>
          <a:ext cx="1647825" cy="58102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1" kern="1200">
              <a:solidFill>
                <a:schemeClr val="accent4"/>
              </a:solidFill>
              <a:latin typeface="Century Gothic" panose="020B0502020202020204" pitchFamily="34" charset="0"/>
            </a:rPr>
            <a:t>tabla</a:t>
          </a:r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 de reservas</a:t>
          </a:r>
          <a:endParaRPr lang="es-AR" sz="1100" b="1" i="1" kern="1200">
            <a:solidFill>
              <a:schemeClr val="accent4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31</xdr:col>
      <xdr:colOff>257175</xdr:colOff>
      <xdr:row>0</xdr:row>
      <xdr:rowOff>95251</xdr:rowOff>
    </xdr:from>
    <xdr:to>
      <xdr:col>34</xdr:col>
      <xdr:colOff>133350</xdr:colOff>
      <xdr:row>3</xdr:row>
      <xdr:rowOff>104777</xdr:rowOff>
    </xdr:to>
    <xdr:sp macro="" textlink="">
      <xdr:nvSpPr>
        <xdr:cNvPr id="17" name="Paralelogramo 16">
          <a:extLst>
            <a:ext uri="{FF2B5EF4-FFF2-40B4-BE49-F238E27FC236}">
              <a16:creationId xmlns:a16="http://schemas.microsoft.com/office/drawing/2014/main" id="{5C5C8E72-6173-53A8-00D8-639F4B45D242}"/>
            </a:ext>
          </a:extLst>
        </xdr:cNvPr>
        <xdr:cNvSpPr/>
      </xdr:nvSpPr>
      <xdr:spPr>
        <a:xfrm>
          <a:off x="22783800" y="95251"/>
          <a:ext cx="1647825" cy="58102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1" kern="1200">
              <a:solidFill>
                <a:schemeClr val="accent4"/>
              </a:solidFill>
              <a:latin typeface="Century Gothic" panose="020B0502020202020204" pitchFamily="34" charset="0"/>
            </a:rPr>
            <a:t>tabla</a:t>
          </a:r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 de ingresos</a:t>
          </a:r>
          <a:endParaRPr lang="es-AR" sz="1100" b="1" i="1" kern="1200">
            <a:solidFill>
              <a:schemeClr val="accent4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35</xdr:col>
      <xdr:colOff>19050</xdr:colOff>
      <xdr:row>0</xdr:row>
      <xdr:rowOff>95251</xdr:rowOff>
    </xdr:from>
    <xdr:to>
      <xdr:col>37</xdr:col>
      <xdr:colOff>47625</xdr:colOff>
      <xdr:row>3</xdr:row>
      <xdr:rowOff>104777</xdr:rowOff>
    </xdr:to>
    <xdr:sp macro="" textlink="">
      <xdr:nvSpPr>
        <xdr:cNvPr id="18" name="Paralelogramo 17">
          <a:extLst>
            <a:ext uri="{FF2B5EF4-FFF2-40B4-BE49-F238E27FC236}">
              <a16:creationId xmlns:a16="http://schemas.microsoft.com/office/drawing/2014/main" id="{998501BD-AB4D-3663-D824-7B2B90E5F617}"/>
            </a:ext>
          </a:extLst>
        </xdr:cNvPr>
        <xdr:cNvSpPr/>
      </xdr:nvSpPr>
      <xdr:spPr>
        <a:xfrm>
          <a:off x="24669750" y="95251"/>
          <a:ext cx="1914525" cy="58102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1" kern="1200">
              <a:solidFill>
                <a:schemeClr val="accent4"/>
              </a:solidFill>
              <a:latin typeface="Century Gothic" panose="020B0502020202020204" pitchFamily="34" charset="0"/>
            </a:rPr>
            <a:t>tabla</a:t>
          </a:r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 de ingresos mensuales</a:t>
          </a:r>
          <a:endParaRPr lang="es-AR" sz="1100" b="1" i="1" kern="1200">
            <a:solidFill>
              <a:schemeClr val="accent4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37</xdr:col>
      <xdr:colOff>95250</xdr:colOff>
      <xdr:row>0</xdr:row>
      <xdr:rowOff>95251</xdr:rowOff>
    </xdr:from>
    <xdr:to>
      <xdr:col>41</xdr:col>
      <xdr:colOff>238125</xdr:colOff>
      <xdr:row>3</xdr:row>
      <xdr:rowOff>104777</xdr:rowOff>
    </xdr:to>
    <xdr:sp macro="" textlink="">
      <xdr:nvSpPr>
        <xdr:cNvPr id="19" name="Paralelogramo 18">
          <a:extLst>
            <a:ext uri="{FF2B5EF4-FFF2-40B4-BE49-F238E27FC236}">
              <a16:creationId xmlns:a16="http://schemas.microsoft.com/office/drawing/2014/main" id="{A913B034-85AC-E8A9-CF50-D0CCF2B683FD}"/>
            </a:ext>
          </a:extLst>
        </xdr:cNvPr>
        <xdr:cNvSpPr/>
      </xdr:nvSpPr>
      <xdr:spPr>
        <a:xfrm>
          <a:off x="26631900" y="95251"/>
          <a:ext cx="2038350" cy="58102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1" kern="1200">
              <a:solidFill>
                <a:schemeClr val="accent4"/>
              </a:solidFill>
              <a:latin typeface="Century Gothic" panose="020B0502020202020204" pitchFamily="34" charset="0"/>
            </a:rPr>
            <a:t>variabilidad</a:t>
          </a:r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 de ingresos mensuales</a:t>
          </a:r>
          <a:endParaRPr lang="es-AR" sz="1100" b="1" i="1" kern="1200">
            <a:solidFill>
              <a:schemeClr val="accent4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41</xdr:col>
      <xdr:colOff>161925</xdr:colOff>
      <xdr:row>0</xdr:row>
      <xdr:rowOff>95251</xdr:rowOff>
    </xdr:from>
    <xdr:to>
      <xdr:col>45</xdr:col>
      <xdr:colOff>95250</xdr:colOff>
      <xdr:row>3</xdr:row>
      <xdr:rowOff>104777</xdr:rowOff>
    </xdr:to>
    <xdr:sp macro="" textlink="">
      <xdr:nvSpPr>
        <xdr:cNvPr id="20" name="Paralelogramo 19">
          <a:extLst>
            <a:ext uri="{FF2B5EF4-FFF2-40B4-BE49-F238E27FC236}">
              <a16:creationId xmlns:a16="http://schemas.microsoft.com/office/drawing/2014/main" id="{D2465F18-DB69-4A68-1030-A437FCD0C988}"/>
            </a:ext>
          </a:extLst>
        </xdr:cNvPr>
        <xdr:cNvSpPr/>
      </xdr:nvSpPr>
      <xdr:spPr>
        <a:xfrm>
          <a:off x="28594050" y="95251"/>
          <a:ext cx="2038350" cy="58102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ingresos mensuales ajustados por IPC</a:t>
          </a:r>
          <a:endParaRPr lang="es-AR" sz="1100" b="1" i="1" kern="1200">
            <a:solidFill>
              <a:schemeClr val="accent4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45</xdr:col>
      <xdr:colOff>200025</xdr:colOff>
      <xdr:row>0</xdr:row>
      <xdr:rowOff>95251</xdr:rowOff>
    </xdr:from>
    <xdr:to>
      <xdr:col>48</xdr:col>
      <xdr:colOff>123825</xdr:colOff>
      <xdr:row>3</xdr:row>
      <xdr:rowOff>104777</xdr:rowOff>
    </xdr:to>
    <xdr:sp macro="" textlink="">
      <xdr:nvSpPr>
        <xdr:cNvPr id="21" name="Paralelogramo 20">
          <a:extLst>
            <a:ext uri="{FF2B5EF4-FFF2-40B4-BE49-F238E27FC236}">
              <a16:creationId xmlns:a16="http://schemas.microsoft.com/office/drawing/2014/main" id="{B17436CA-6AD8-58A8-73C9-1E420882FA75}"/>
            </a:ext>
          </a:extLst>
        </xdr:cNvPr>
        <xdr:cNvSpPr/>
      </xdr:nvSpPr>
      <xdr:spPr>
        <a:xfrm>
          <a:off x="30737175" y="95251"/>
          <a:ext cx="2038350" cy="58102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tabla de gastos por categoria</a:t>
          </a:r>
          <a:endParaRPr lang="es-AR" sz="1100" b="1" i="1" kern="1200">
            <a:solidFill>
              <a:schemeClr val="accent4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49</xdr:col>
      <xdr:colOff>47625</xdr:colOff>
      <xdr:row>0</xdr:row>
      <xdr:rowOff>95251</xdr:rowOff>
    </xdr:from>
    <xdr:to>
      <xdr:col>52</xdr:col>
      <xdr:colOff>628649</xdr:colOff>
      <xdr:row>3</xdr:row>
      <xdr:rowOff>104777</xdr:rowOff>
    </xdr:to>
    <xdr:sp macro="" textlink="">
      <xdr:nvSpPr>
        <xdr:cNvPr id="22" name="Paralelogramo 21">
          <a:extLst>
            <a:ext uri="{FF2B5EF4-FFF2-40B4-BE49-F238E27FC236}">
              <a16:creationId xmlns:a16="http://schemas.microsoft.com/office/drawing/2014/main" id="{31E35138-C08D-CE27-A463-7BA6392B9A57}"/>
            </a:ext>
          </a:extLst>
        </xdr:cNvPr>
        <xdr:cNvSpPr/>
      </xdr:nvSpPr>
      <xdr:spPr>
        <a:xfrm>
          <a:off x="32937450" y="95251"/>
          <a:ext cx="3162299" cy="58102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barra de desplazamiento:</a:t>
          </a:r>
        </a:p>
        <a:p>
          <a:pPr algn="ctr"/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gastos por categoria</a:t>
          </a:r>
          <a:endParaRPr lang="es-AR" sz="1100" b="1" i="1" kern="1200">
            <a:solidFill>
              <a:schemeClr val="accent4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53</xdr:col>
      <xdr:colOff>285749</xdr:colOff>
      <xdr:row>0</xdr:row>
      <xdr:rowOff>95251</xdr:rowOff>
    </xdr:from>
    <xdr:to>
      <xdr:col>56</xdr:col>
      <xdr:colOff>47625</xdr:colOff>
      <xdr:row>3</xdr:row>
      <xdr:rowOff>104777</xdr:rowOff>
    </xdr:to>
    <xdr:sp macro="" textlink="">
      <xdr:nvSpPr>
        <xdr:cNvPr id="23" name="Paralelogramo 22">
          <a:extLst>
            <a:ext uri="{FF2B5EF4-FFF2-40B4-BE49-F238E27FC236}">
              <a16:creationId xmlns:a16="http://schemas.microsoft.com/office/drawing/2014/main" id="{D323A433-E905-FDBB-495B-C6A4F469557C}"/>
            </a:ext>
          </a:extLst>
        </xdr:cNvPr>
        <xdr:cNvSpPr/>
      </xdr:nvSpPr>
      <xdr:spPr>
        <a:xfrm>
          <a:off x="36404549" y="95251"/>
          <a:ext cx="2266951" cy="58102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tabla de gastos por dia</a:t>
          </a:r>
          <a:endParaRPr lang="es-AR" sz="1100" b="1" i="1" kern="1200">
            <a:solidFill>
              <a:schemeClr val="accent4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57</xdr:col>
      <xdr:colOff>19049</xdr:colOff>
      <xdr:row>0</xdr:row>
      <xdr:rowOff>95251</xdr:rowOff>
    </xdr:from>
    <xdr:to>
      <xdr:col>59</xdr:col>
      <xdr:colOff>85725</xdr:colOff>
      <xdr:row>3</xdr:row>
      <xdr:rowOff>104777</xdr:rowOff>
    </xdr:to>
    <xdr:sp macro="" textlink="">
      <xdr:nvSpPr>
        <xdr:cNvPr id="24" name="Paralelogramo 23">
          <a:extLst>
            <a:ext uri="{FF2B5EF4-FFF2-40B4-BE49-F238E27FC236}">
              <a16:creationId xmlns:a16="http://schemas.microsoft.com/office/drawing/2014/main" id="{B904C61C-2894-CC39-D9A9-8F4C5504EBF8}"/>
            </a:ext>
          </a:extLst>
        </xdr:cNvPr>
        <xdr:cNvSpPr/>
      </xdr:nvSpPr>
      <xdr:spPr>
        <a:xfrm>
          <a:off x="38938199" y="95251"/>
          <a:ext cx="2266951" cy="58102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tabla de gastos por mes</a:t>
          </a:r>
          <a:endParaRPr lang="es-AR" sz="1100" b="1" i="1" kern="1200">
            <a:solidFill>
              <a:schemeClr val="accent4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60</xdr:col>
      <xdr:colOff>9524</xdr:colOff>
      <xdr:row>0</xdr:row>
      <xdr:rowOff>95251</xdr:rowOff>
    </xdr:from>
    <xdr:to>
      <xdr:col>63</xdr:col>
      <xdr:colOff>66675</xdr:colOff>
      <xdr:row>3</xdr:row>
      <xdr:rowOff>104777</xdr:rowOff>
    </xdr:to>
    <xdr:sp macro="" textlink="">
      <xdr:nvSpPr>
        <xdr:cNvPr id="25" name="Paralelogramo 24">
          <a:extLst>
            <a:ext uri="{FF2B5EF4-FFF2-40B4-BE49-F238E27FC236}">
              <a16:creationId xmlns:a16="http://schemas.microsoft.com/office/drawing/2014/main" id="{A7520F87-F968-2798-2A6B-BDDD207C4AD7}"/>
            </a:ext>
          </a:extLst>
        </xdr:cNvPr>
        <xdr:cNvSpPr/>
      </xdr:nvSpPr>
      <xdr:spPr>
        <a:xfrm>
          <a:off x="41405174" y="95251"/>
          <a:ext cx="2057401" cy="58102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variabilidad de gastos por mes</a:t>
          </a:r>
          <a:endParaRPr lang="es-AR" sz="1100" b="1" i="1" kern="1200">
            <a:solidFill>
              <a:schemeClr val="accent4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64</xdr:col>
      <xdr:colOff>19050</xdr:colOff>
      <xdr:row>0</xdr:row>
      <xdr:rowOff>95251</xdr:rowOff>
    </xdr:from>
    <xdr:to>
      <xdr:col>66</xdr:col>
      <xdr:colOff>1142999</xdr:colOff>
      <xdr:row>3</xdr:row>
      <xdr:rowOff>104777</xdr:rowOff>
    </xdr:to>
    <xdr:sp macro="" textlink="">
      <xdr:nvSpPr>
        <xdr:cNvPr id="26" name="Paralelogramo 25">
          <a:extLst>
            <a:ext uri="{FF2B5EF4-FFF2-40B4-BE49-F238E27FC236}">
              <a16:creationId xmlns:a16="http://schemas.microsoft.com/office/drawing/2014/main" id="{5A4BA567-6B99-C2F3-2526-51E10C9F6B1C}"/>
            </a:ext>
          </a:extLst>
        </xdr:cNvPr>
        <xdr:cNvSpPr/>
      </xdr:nvSpPr>
      <xdr:spPr>
        <a:xfrm>
          <a:off x="43691175" y="95251"/>
          <a:ext cx="3619499" cy="58102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tablas del grafico velocimetro</a:t>
          </a:r>
          <a:endParaRPr lang="es-AR" sz="1100" b="1" i="1" kern="1200">
            <a:solidFill>
              <a:schemeClr val="accent4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68</xdr:col>
      <xdr:colOff>9525</xdr:colOff>
      <xdr:row>0</xdr:row>
      <xdr:rowOff>95251</xdr:rowOff>
    </xdr:from>
    <xdr:to>
      <xdr:col>72</xdr:col>
      <xdr:colOff>123824</xdr:colOff>
      <xdr:row>3</xdr:row>
      <xdr:rowOff>104777</xdr:rowOff>
    </xdr:to>
    <xdr:sp macro="" textlink="">
      <xdr:nvSpPr>
        <xdr:cNvPr id="2" name="Paralelogramo 1">
          <a:extLst>
            <a:ext uri="{FF2B5EF4-FFF2-40B4-BE49-F238E27FC236}">
              <a16:creationId xmlns:a16="http://schemas.microsoft.com/office/drawing/2014/main" id="{5AD81AA0-13A7-C709-7095-ECC8F093D611}"/>
            </a:ext>
          </a:extLst>
        </xdr:cNvPr>
        <xdr:cNvSpPr/>
      </xdr:nvSpPr>
      <xdr:spPr>
        <a:xfrm>
          <a:off x="47520225" y="95251"/>
          <a:ext cx="3162299" cy="58102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barra de desplazamiento:</a:t>
          </a:r>
        </a:p>
        <a:p>
          <a:pPr algn="ctr"/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Reservas</a:t>
          </a:r>
          <a:endParaRPr lang="es-AR" sz="1100" b="1" i="1" kern="1200">
            <a:solidFill>
              <a:schemeClr val="accent4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72</xdr:col>
      <xdr:colOff>628650</xdr:colOff>
      <xdr:row>0</xdr:row>
      <xdr:rowOff>95251</xdr:rowOff>
    </xdr:from>
    <xdr:to>
      <xdr:col>77</xdr:col>
      <xdr:colOff>266699</xdr:colOff>
      <xdr:row>3</xdr:row>
      <xdr:rowOff>104777</xdr:rowOff>
    </xdr:to>
    <xdr:sp macro="" textlink="">
      <xdr:nvSpPr>
        <xdr:cNvPr id="11" name="Paralelogramo 10">
          <a:extLst>
            <a:ext uri="{FF2B5EF4-FFF2-40B4-BE49-F238E27FC236}">
              <a16:creationId xmlns:a16="http://schemas.microsoft.com/office/drawing/2014/main" id="{9C7BE886-58A0-1AB0-5EA0-960C12942953}"/>
            </a:ext>
          </a:extLst>
        </xdr:cNvPr>
        <xdr:cNvSpPr/>
      </xdr:nvSpPr>
      <xdr:spPr>
        <a:xfrm>
          <a:off x="51473100" y="95251"/>
          <a:ext cx="3448049" cy="58102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barra de desplazamiento:</a:t>
          </a:r>
        </a:p>
        <a:p>
          <a:pPr algn="ctr"/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Billeteras</a:t>
          </a:r>
        </a:p>
      </xdr:txBody>
    </xdr:sp>
    <xdr:clientData/>
  </xdr:twoCellAnchor>
  <xdr:twoCellAnchor>
    <xdr:from>
      <xdr:col>78</xdr:col>
      <xdr:colOff>28575</xdr:colOff>
      <xdr:row>0</xdr:row>
      <xdr:rowOff>95251</xdr:rowOff>
    </xdr:from>
    <xdr:to>
      <xdr:col>80</xdr:col>
      <xdr:colOff>57150</xdr:colOff>
      <xdr:row>3</xdr:row>
      <xdr:rowOff>104777</xdr:rowOff>
    </xdr:to>
    <xdr:sp macro="" textlink="">
      <xdr:nvSpPr>
        <xdr:cNvPr id="28" name="Paralelogramo 27">
          <a:extLst>
            <a:ext uri="{FF2B5EF4-FFF2-40B4-BE49-F238E27FC236}">
              <a16:creationId xmlns:a16="http://schemas.microsoft.com/office/drawing/2014/main" id="{05AEE923-D9DD-29B4-DBD9-DC8AA42AE7A0}"/>
            </a:ext>
          </a:extLst>
        </xdr:cNvPr>
        <xdr:cNvSpPr/>
      </xdr:nvSpPr>
      <xdr:spPr>
        <a:xfrm>
          <a:off x="58045350" y="95251"/>
          <a:ext cx="2000250" cy="58102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tabla de gastos fijos</a:t>
          </a:r>
        </a:p>
      </xdr:txBody>
    </xdr:sp>
    <xdr:clientData/>
  </xdr:twoCellAnchor>
  <xdr:twoCellAnchor>
    <xdr:from>
      <xdr:col>81</xdr:col>
      <xdr:colOff>38100</xdr:colOff>
      <xdr:row>0</xdr:row>
      <xdr:rowOff>95251</xdr:rowOff>
    </xdr:from>
    <xdr:to>
      <xdr:col>83</xdr:col>
      <xdr:colOff>66675</xdr:colOff>
      <xdr:row>3</xdr:row>
      <xdr:rowOff>104777</xdr:rowOff>
    </xdr:to>
    <xdr:sp macro="" textlink="">
      <xdr:nvSpPr>
        <xdr:cNvPr id="32" name="Paralelogramo 31">
          <a:extLst>
            <a:ext uri="{FF2B5EF4-FFF2-40B4-BE49-F238E27FC236}">
              <a16:creationId xmlns:a16="http://schemas.microsoft.com/office/drawing/2014/main" id="{DDA71D50-3C8B-812C-8622-0176E681AB2E}"/>
            </a:ext>
          </a:extLst>
        </xdr:cNvPr>
        <xdr:cNvSpPr/>
      </xdr:nvSpPr>
      <xdr:spPr>
        <a:xfrm>
          <a:off x="60331350" y="95251"/>
          <a:ext cx="2000250" cy="58102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tabla de gastos fijos mensuales</a:t>
          </a:r>
        </a:p>
      </xdr:txBody>
    </xdr:sp>
    <xdr:clientData/>
  </xdr:twoCellAnchor>
  <xdr:twoCellAnchor>
    <xdr:from>
      <xdr:col>83</xdr:col>
      <xdr:colOff>752475</xdr:colOff>
      <xdr:row>0</xdr:row>
      <xdr:rowOff>95251</xdr:rowOff>
    </xdr:from>
    <xdr:to>
      <xdr:col>88</xdr:col>
      <xdr:colOff>104774</xdr:colOff>
      <xdr:row>3</xdr:row>
      <xdr:rowOff>104777</xdr:rowOff>
    </xdr:to>
    <xdr:sp macro="" textlink="">
      <xdr:nvSpPr>
        <xdr:cNvPr id="30" name="Paralelogramo 29">
          <a:extLst>
            <a:ext uri="{FF2B5EF4-FFF2-40B4-BE49-F238E27FC236}">
              <a16:creationId xmlns:a16="http://schemas.microsoft.com/office/drawing/2014/main" id="{8AEB06E7-F5DD-EE53-0A0E-90709B695F5C}"/>
            </a:ext>
          </a:extLst>
        </xdr:cNvPr>
        <xdr:cNvSpPr/>
      </xdr:nvSpPr>
      <xdr:spPr>
        <a:xfrm>
          <a:off x="61712475" y="95251"/>
          <a:ext cx="3162299" cy="58102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barra de desplazamiento:</a:t>
          </a:r>
        </a:p>
        <a:p>
          <a:pPr algn="ctr"/>
          <a:r>
            <a:rPr lang="es-AR" sz="1100" b="1" i="1" kern="1200" baseline="0">
              <a:solidFill>
                <a:schemeClr val="accent4"/>
              </a:solidFill>
              <a:latin typeface="Century Gothic" panose="020B0502020202020204" pitchFamily="34" charset="0"/>
            </a:rPr>
            <a:t>gastos fijos</a:t>
          </a:r>
          <a:endParaRPr lang="es-AR" sz="1100" b="1" i="1" kern="1200">
            <a:solidFill>
              <a:schemeClr val="accent4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absolute">
    <xdr:from>
      <xdr:col>4</xdr:col>
      <xdr:colOff>113850</xdr:colOff>
      <xdr:row>1</xdr:row>
      <xdr:rowOff>23400</xdr:rowOff>
    </xdr:from>
    <xdr:to>
      <xdr:col>5</xdr:col>
      <xdr:colOff>66825</xdr:colOff>
      <xdr:row>3</xdr:row>
      <xdr:rowOff>38400</xdr:rowOff>
    </xdr:to>
    <xdr:grpSp>
      <xdr:nvGrpSpPr>
        <xdr:cNvPr id="37" name="ir al final">
          <a:extLst>
            <a:ext uri="{FF2B5EF4-FFF2-40B4-BE49-F238E27FC236}">
              <a16:creationId xmlns:a16="http://schemas.microsoft.com/office/drawing/2014/main" id="{9009E8D0-325F-6DCD-7028-7CF2BFB87962}"/>
            </a:ext>
          </a:extLst>
        </xdr:cNvPr>
        <xdr:cNvGrpSpPr>
          <a:grpSpLocks/>
        </xdr:cNvGrpSpPr>
      </xdr:nvGrpSpPr>
      <xdr:grpSpPr>
        <a:xfrm>
          <a:off x="3600000" y="213900"/>
          <a:ext cx="1296000" cy="396000"/>
          <a:chOff x="3600000" y="252000"/>
          <a:chExt cx="1296000" cy="396000"/>
        </a:xfrm>
      </xdr:grpSpPr>
      <xdr:pic macro="[0]!ir_al_final">
        <xdr:nvPicPr>
          <xdr:cNvPr id="33" name="Imagen 32">
            <a:extLst>
              <a:ext uri="{FF2B5EF4-FFF2-40B4-BE49-F238E27FC236}">
                <a16:creationId xmlns:a16="http://schemas.microsoft.com/office/drawing/2014/main" id="{77B6200B-6C51-4C76-9890-4769766659D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53" t="17427" r="2510" b="13280"/>
          <a:stretch/>
        </xdr:blipFill>
        <xdr:spPr>
          <a:xfrm>
            <a:off x="3600000" y="252000"/>
            <a:ext cx="1296000" cy="396000"/>
          </a:xfrm>
          <a:prstGeom prst="rect">
            <a:avLst/>
          </a:prstGeom>
        </xdr:spPr>
      </xdr:pic>
      <xdr:sp macro="[0]!ir_al_final" textlink="">
        <xdr:nvSpPr>
          <xdr:cNvPr id="34" name="CuadroTexto 33">
            <a:extLst>
              <a:ext uri="{FF2B5EF4-FFF2-40B4-BE49-F238E27FC236}">
                <a16:creationId xmlns:a16="http://schemas.microsoft.com/office/drawing/2014/main" id="{76EFF543-7DF3-A694-5D52-3D573374E080}"/>
              </a:ext>
            </a:extLst>
          </xdr:cNvPr>
          <xdr:cNvSpPr txBox="1"/>
        </xdr:nvSpPr>
        <xdr:spPr>
          <a:xfrm>
            <a:off x="3799400" y="276225"/>
            <a:ext cx="929235" cy="312458"/>
          </a:xfrm>
          <a:prstGeom prst="rect">
            <a:avLst/>
          </a:prstGeom>
          <a:noFill/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108000" rtlCol="0" anchor="t">
            <a:noAutofit/>
          </a:bodyPr>
          <a:lstStyle/>
          <a:p>
            <a:r>
              <a:rPr lang="es-AR" sz="1400" b="1" i="1">
                <a:latin typeface="Century Gothic" panose="020B0502020202020204" pitchFamily="34" charset="0"/>
              </a:rPr>
              <a:t>Ir al final</a:t>
            </a:r>
          </a:p>
        </xdr:txBody>
      </xdr:sp>
    </xdr:grpSp>
    <xdr:clientData/>
  </xdr:twoCellAnchor>
  <xdr:twoCellAnchor editAs="oneCell">
    <xdr:from>
      <xdr:col>15</xdr:col>
      <xdr:colOff>1866900</xdr:colOff>
      <xdr:row>19</xdr:row>
      <xdr:rowOff>133350</xdr:rowOff>
    </xdr:from>
    <xdr:to>
      <xdr:col>15</xdr:col>
      <xdr:colOff>3028949</xdr:colOff>
      <xdr:row>25</xdr:row>
      <xdr:rowOff>152399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6E64A651-2498-8DBD-F45B-C989C6F156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097125" y="3752850"/>
          <a:ext cx="1162049" cy="1162049"/>
        </a:xfrm>
        <a:prstGeom prst="rect">
          <a:avLst/>
        </a:prstGeom>
      </xdr:spPr>
    </xdr:pic>
    <xdr:clientData/>
  </xdr:twoCellAnchor>
  <xdr:twoCellAnchor editAs="oneCell">
    <xdr:from>
      <xdr:col>15</xdr:col>
      <xdr:colOff>1885950</xdr:colOff>
      <xdr:row>0</xdr:row>
      <xdr:rowOff>0</xdr:rowOff>
    </xdr:from>
    <xdr:to>
      <xdr:col>15</xdr:col>
      <xdr:colOff>2990850</xdr:colOff>
      <xdr:row>5</xdr:row>
      <xdr:rowOff>177021</xdr:rowOff>
    </xdr:to>
    <xdr:pic>
      <xdr:nvPicPr>
        <xdr:cNvPr id="36" name="Imagen 35" descr="Imagen">
          <a:extLst>
            <a:ext uri="{FF2B5EF4-FFF2-40B4-BE49-F238E27FC236}">
              <a16:creationId xmlns:a16="http://schemas.microsoft.com/office/drawing/2014/main" id="{BE1E0045-779C-177B-3F22-2F5326FF3E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1523" b="95939" l="7254" r="91710">
                      <a14:foregroundMark x1="41451" y1="20812" x2="58031" y2="8629"/>
                      <a14:foregroundMark x1="58031" y1="8629" x2="59067" y2="8122"/>
                      <a14:foregroundMark x1="45596" y1="2538" x2="45596" y2="2538"/>
                      <a14:foregroundMark x1="58031" y1="5584" x2="65803" y2="10152"/>
                      <a14:foregroundMark x1="89637" y1="30964" x2="89637" y2="30964"/>
                      <a14:foregroundMark x1="10363" y1="57360" x2="10363" y2="57360"/>
                      <a14:foregroundMark x1="9845" y1="53807" x2="10363" y2="54822"/>
                      <a14:foregroundMark x1="13990" y1="48731" x2="12435" y2="48223"/>
                      <a14:foregroundMark x1="7254" y1="49239" x2="12435" y2="63959"/>
                      <a14:foregroundMark x1="12435" y1="63959" x2="16062" y2="60914"/>
                      <a14:foregroundMark x1="90155" y1="71574" x2="83938" y2="56345"/>
                      <a14:foregroundMark x1="83938" y1="56345" x2="91710" y2="69543"/>
                      <a14:foregroundMark x1="91710" y1="69543" x2="91192" y2="71066"/>
                      <a14:foregroundMark x1="50777" y1="79188" x2="57513" y2="94416"/>
                      <a14:foregroundMark x1="57513" y1="94416" x2="75130" y2="89848"/>
                      <a14:foregroundMark x1="75130" y1="89848" x2="61140" y2="79188"/>
                      <a14:foregroundMark x1="61140" y1="79188" x2="55440" y2="78173"/>
                      <a14:foregroundMark x1="34197" y1="45685" x2="55440" y2="51777"/>
                      <a14:foregroundMark x1="55440" y1="51777" x2="70466" y2="49746"/>
                      <a14:foregroundMark x1="70466" y1="49746" x2="24870" y2="41117"/>
                      <a14:foregroundMark x1="33161" y1="32487" x2="31606" y2="49239"/>
                      <a14:foregroundMark x1="31606" y1="49239" x2="67358" y2="58376"/>
                      <a14:foregroundMark x1="67358" y1="58376" x2="59585" y2="39086"/>
                      <a14:foregroundMark x1="59585" y1="39086" x2="30570" y2="37563"/>
                      <a14:foregroundMark x1="35233" y1="86802" x2="35751" y2="88325"/>
                      <a14:foregroundMark x1="24870" y1="95939" x2="19171" y2="94924"/>
                      <a14:foregroundMark x1="69430" y1="51269" x2="50259" y2="51269"/>
                      <a14:foregroundMark x1="50259" y1="51269" x2="25907" y2="26396"/>
                      <a14:foregroundMark x1="25907" y1="26396" x2="43005" y2="11675"/>
                      <a14:foregroundMark x1="43005" y1="11675" x2="69948" y2="21827"/>
                      <a14:foregroundMark x1="69948" y1="21827" x2="76684" y2="52284"/>
                      <a14:foregroundMark x1="76684" y1="52284" x2="44041" y2="59391"/>
                      <a14:foregroundMark x1="44041" y1="59391" x2="54404" y2="36548"/>
                      <a14:foregroundMark x1="54404" y1="36548" x2="56477" y2="52792"/>
                      <a14:foregroundMark x1="56477" y1="52792" x2="53886" y2="54822"/>
                      <a14:foregroundMark x1="26943" y1="87310" x2="33679" y2="86802"/>
                      <a14:foregroundMark x1="37306" y1="76650" x2="34715" y2="77157"/>
                      <a14:foregroundMark x1="36269" y1="79188" x2="36269" y2="7918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6175" y="0"/>
          <a:ext cx="1104900" cy="11295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1828800</xdr:colOff>
      <xdr:row>26</xdr:row>
      <xdr:rowOff>9526</xdr:rowOff>
    </xdr:from>
    <xdr:to>
      <xdr:col>15</xdr:col>
      <xdr:colOff>3076574</xdr:colOff>
      <xdr:row>32</xdr:row>
      <xdr:rowOff>114300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BDFFAB8E-5B75-14F0-27EF-9967EB3BC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059025" y="4962526"/>
          <a:ext cx="1247774" cy="1247774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1904999</xdr:colOff>
      <xdr:row>14</xdr:row>
      <xdr:rowOff>57149</xdr:rowOff>
    </xdr:from>
    <xdr:to>
      <xdr:col>15</xdr:col>
      <xdr:colOff>2971798</xdr:colOff>
      <xdr:row>19</xdr:row>
      <xdr:rowOff>171448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E95F8B2D-A397-DEE8-5E61-C778EFFB4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135224" y="2724149"/>
          <a:ext cx="1066799" cy="1066799"/>
        </a:xfrm>
        <a:prstGeom prst="rect">
          <a:avLst/>
        </a:prstGeom>
      </xdr:spPr>
    </xdr:pic>
    <xdr:clientData/>
  </xdr:twoCellAnchor>
  <xdr:oneCellAnchor>
    <xdr:from>
      <xdr:col>15</xdr:col>
      <xdr:colOff>1590675</xdr:colOff>
      <xdr:row>6</xdr:row>
      <xdr:rowOff>9525</xdr:rowOff>
    </xdr:from>
    <xdr:ext cx="1735540" cy="1790490"/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E34A9630-575F-23F6-49AF-D1CE1F7724F4}"/>
            </a:ext>
          </a:extLst>
        </xdr:cNvPr>
        <xdr:cNvSpPr txBox="1"/>
      </xdr:nvSpPr>
      <xdr:spPr>
        <a:xfrm>
          <a:off x="14820900" y="1152525"/>
          <a:ext cx="1735540" cy="17904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s-AR" sz="3600" b="1">
              <a:solidFill>
                <a:schemeClr val="bg1"/>
              </a:solidFill>
              <a:latin typeface="Century Gothic" panose="020B0502020202020204" pitchFamily="34" charset="0"/>
            </a:rPr>
            <a:t>NO</a:t>
          </a:r>
          <a:endParaRPr lang="es-AR" sz="3600" b="1" baseline="0">
            <a:solidFill>
              <a:schemeClr val="bg1"/>
            </a:solidFill>
            <a:latin typeface="Century Gothic" panose="020B0502020202020204" pitchFamily="34" charset="0"/>
          </a:endParaRPr>
        </a:p>
        <a:p>
          <a:pPr algn="ctr"/>
          <a:r>
            <a:rPr lang="es-AR" sz="3600" b="1" baseline="0">
              <a:solidFill>
                <a:schemeClr val="bg1"/>
              </a:solidFill>
              <a:latin typeface="Century Gothic" panose="020B0502020202020204" pitchFamily="34" charset="0"/>
            </a:rPr>
            <a:t>TOCAR</a:t>
          </a:r>
        </a:p>
        <a:p>
          <a:pPr algn="ctr"/>
          <a:r>
            <a:rPr lang="es-AR" sz="3600" b="1" baseline="0">
              <a:solidFill>
                <a:schemeClr val="bg1"/>
              </a:solidFill>
              <a:latin typeface="Century Gothic" panose="020B0502020202020204" pitchFamily="34" charset="0"/>
            </a:rPr>
            <a:t>NADA</a:t>
          </a:r>
          <a:endParaRPr lang="es-AR" sz="36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oneCellAnchor>
  <xdr:oneCellAnchor>
    <xdr:from>
      <xdr:col>15</xdr:col>
      <xdr:colOff>1362221</xdr:colOff>
      <xdr:row>32</xdr:row>
      <xdr:rowOff>47625</xdr:rowOff>
    </xdr:from>
    <xdr:ext cx="2173415" cy="438197"/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A0611489-B1DD-4FB1-8193-DAE97D394A7D}"/>
            </a:ext>
          </a:extLst>
        </xdr:cNvPr>
        <xdr:cNvSpPr txBox="1"/>
      </xdr:nvSpPr>
      <xdr:spPr>
        <a:xfrm>
          <a:off x="14592446" y="6143625"/>
          <a:ext cx="2173415" cy="4381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s-AR" sz="1100" b="1">
              <a:solidFill>
                <a:schemeClr val="bg1"/>
              </a:solidFill>
              <a:latin typeface="Century Gothic" panose="020B0502020202020204" pitchFamily="34" charset="0"/>
            </a:rPr>
            <a:t>LÓGICA, FORMULAS</a:t>
          </a:r>
          <a:r>
            <a:rPr lang="es-AR" sz="1100" b="1" baseline="0">
              <a:solidFill>
                <a:schemeClr val="bg1"/>
              </a:solidFill>
              <a:latin typeface="Century Gothic" panose="020B0502020202020204" pitchFamily="34" charset="0"/>
            </a:rPr>
            <a:t> Y</a:t>
          </a:r>
        </a:p>
        <a:p>
          <a:pPr algn="ctr"/>
          <a:r>
            <a:rPr lang="es-AR" sz="1100" b="1" baseline="0">
              <a:solidFill>
                <a:schemeClr val="bg1"/>
              </a:solidFill>
              <a:latin typeface="Century Gothic" panose="020B0502020202020204" pitchFamily="34" charset="0"/>
            </a:rPr>
            <a:t>FUNCIONAMIENTO DEL EXCEL</a:t>
          </a:r>
          <a:endParaRPr lang="es-AR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71</xdr:row>
      <xdr:rowOff>95250</xdr:rowOff>
    </xdr:from>
    <xdr:to>
      <xdr:col>17</xdr:col>
      <xdr:colOff>400050</xdr:colOff>
      <xdr:row>78</xdr:row>
      <xdr:rowOff>9526</xdr:rowOff>
    </xdr:to>
    <xdr:sp macro="" textlink="">
      <xdr:nvSpPr>
        <xdr:cNvPr id="1047" name="Paralelogramo 1046">
          <a:extLst>
            <a:ext uri="{FF2B5EF4-FFF2-40B4-BE49-F238E27FC236}">
              <a16:creationId xmlns:a16="http://schemas.microsoft.com/office/drawing/2014/main" id="{49F85BD0-77A6-C1E9-7DAB-F1AE4EB1B167}"/>
            </a:ext>
          </a:extLst>
        </xdr:cNvPr>
        <xdr:cNvSpPr/>
      </xdr:nvSpPr>
      <xdr:spPr>
        <a:xfrm>
          <a:off x="5048250" y="13620750"/>
          <a:ext cx="5715000" cy="124777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0</xdr:col>
      <xdr:colOff>66677</xdr:colOff>
      <xdr:row>71</xdr:row>
      <xdr:rowOff>95250</xdr:rowOff>
    </xdr:from>
    <xdr:to>
      <xdr:col>8</xdr:col>
      <xdr:colOff>447675</xdr:colOff>
      <xdr:row>78</xdr:row>
      <xdr:rowOff>9526</xdr:rowOff>
    </xdr:to>
    <xdr:sp macro="" textlink="">
      <xdr:nvSpPr>
        <xdr:cNvPr id="1046" name="Paralelogramo 1045">
          <a:extLst>
            <a:ext uri="{FF2B5EF4-FFF2-40B4-BE49-F238E27FC236}">
              <a16:creationId xmlns:a16="http://schemas.microsoft.com/office/drawing/2014/main" id="{38732EB4-B4B8-1BB5-BB78-61858454BADA}"/>
            </a:ext>
          </a:extLst>
        </xdr:cNvPr>
        <xdr:cNvSpPr/>
      </xdr:nvSpPr>
      <xdr:spPr>
        <a:xfrm>
          <a:off x="66677" y="13620750"/>
          <a:ext cx="5257798" cy="124777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0</xdr:col>
      <xdr:colOff>66677</xdr:colOff>
      <xdr:row>40</xdr:row>
      <xdr:rowOff>76201</xdr:rowOff>
    </xdr:from>
    <xdr:to>
      <xdr:col>6</xdr:col>
      <xdr:colOff>476251</xdr:colOff>
      <xdr:row>48</xdr:row>
      <xdr:rowOff>9525</xdr:rowOff>
    </xdr:to>
    <xdr:sp macro="" textlink="">
      <xdr:nvSpPr>
        <xdr:cNvPr id="1039" name="Paralelogramo 1038">
          <a:extLst>
            <a:ext uri="{FF2B5EF4-FFF2-40B4-BE49-F238E27FC236}">
              <a16:creationId xmlns:a16="http://schemas.microsoft.com/office/drawing/2014/main" id="{4CF103D0-5189-A851-B276-267B5DFBAB80}"/>
            </a:ext>
          </a:extLst>
        </xdr:cNvPr>
        <xdr:cNvSpPr/>
      </xdr:nvSpPr>
      <xdr:spPr>
        <a:xfrm>
          <a:off x="66677" y="7696201"/>
          <a:ext cx="4067174" cy="1457324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10</xdr:col>
      <xdr:colOff>57149</xdr:colOff>
      <xdr:row>56</xdr:row>
      <xdr:rowOff>133350</xdr:rowOff>
    </xdr:from>
    <xdr:to>
      <xdr:col>17</xdr:col>
      <xdr:colOff>381000</xdr:colOff>
      <xdr:row>63</xdr:row>
      <xdr:rowOff>47626</xdr:rowOff>
    </xdr:to>
    <xdr:sp macro="" textlink="">
      <xdr:nvSpPr>
        <xdr:cNvPr id="1056" name="Paralelogramo 1055">
          <a:extLst>
            <a:ext uri="{FF2B5EF4-FFF2-40B4-BE49-F238E27FC236}">
              <a16:creationId xmlns:a16="http://schemas.microsoft.com/office/drawing/2014/main" id="{065D342A-D7E2-E54F-F5F7-ADA70040AEA7}"/>
            </a:ext>
          </a:extLst>
        </xdr:cNvPr>
        <xdr:cNvSpPr/>
      </xdr:nvSpPr>
      <xdr:spPr>
        <a:xfrm>
          <a:off x="6153149" y="10801350"/>
          <a:ext cx="4591051" cy="124777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6</xdr:col>
      <xdr:colOff>66675</xdr:colOff>
      <xdr:row>56</xdr:row>
      <xdr:rowOff>133350</xdr:rowOff>
    </xdr:from>
    <xdr:to>
      <xdr:col>10</xdr:col>
      <xdr:colOff>323850</xdr:colOff>
      <xdr:row>63</xdr:row>
      <xdr:rowOff>47626</xdr:rowOff>
    </xdr:to>
    <xdr:sp macro="" textlink="">
      <xdr:nvSpPr>
        <xdr:cNvPr id="1055" name="Paralelogramo 1054">
          <a:extLst>
            <a:ext uri="{FF2B5EF4-FFF2-40B4-BE49-F238E27FC236}">
              <a16:creationId xmlns:a16="http://schemas.microsoft.com/office/drawing/2014/main" id="{D72D23C2-5258-930D-0086-49549E4A910D}"/>
            </a:ext>
          </a:extLst>
        </xdr:cNvPr>
        <xdr:cNvSpPr/>
      </xdr:nvSpPr>
      <xdr:spPr>
        <a:xfrm>
          <a:off x="3724275" y="10801350"/>
          <a:ext cx="2695575" cy="124777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0</xdr:col>
      <xdr:colOff>66677</xdr:colOff>
      <xdr:row>56</xdr:row>
      <xdr:rowOff>133350</xdr:rowOff>
    </xdr:from>
    <xdr:to>
      <xdr:col>6</xdr:col>
      <xdr:colOff>333375</xdr:colOff>
      <xdr:row>63</xdr:row>
      <xdr:rowOff>47626</xdr:rowOff>
    </xdr:to>
    <xdr:sp macro="" textlink="">
      <xdr:nvSpPr>
        <xdr:cNvPr id="1054" name="Paralelogramo 1053">
          <a:extLst>
            <a:ext uri="{FF2B5EF4-FFF2-40B4-BE49-F238E27FC236}">
              <a16:creationId xmlns:a16="http://schemas.microsoft.com/office/drawing/2014/main" id="{CF74DCB9-B4CD-4525-F592-6BA9209553DB}"/>
            </a:ext>
          </a:extLst>
        </xdr:cNvPr>
        <xdr:cNvSpPr/>
      </xdr:nvSpPr>
      <xdr:spPr>
        <a:xfrm>
          <a:off x="66677" y="10801350"/>
          <a:ext cx="3924298" cy="1247776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6</xdr:col>
      <xdr:colOff>152402</xdr:colOff>
      <xdr:row>40</xdr:row>
      <xdr:rowOff>76201</xdr:rowOff>
    </xdr:from>
    <xdr:to>
      <xdr:col>11</xdr:col>
      <xdr:colOff>457200</xdr:colOff>
      <xdr:row>48</xdr:row>
      <xdr:rowOff>9525</xdr:rowOff>
    </xdr:to>
    <xdr:sp macro="" textlink="">
      <xdr:nvSpPr>
        <xdr:cNvPr id="1041" name="Paralelogramo 1040">
          <a:extLst>
            <a:ext uri="{FF2B5EF4-FFF2-40B4-BE49-F238E27FC236}">
              <a16:creationId xmlns:a16="http://schemas.microsoft.com/office/drawing/2014/main" id="{7D118162-4496-291A-57AE-60A7D5BAFBEA}"/>
            </a:ext>
          </a:extLst>
        </xdr:cNvPr>
        <xdr:cNvSpPr/>
      </xdr:nvSpPr>
      <xdr:spPr>
        <a:xfrm>
          <a:off x="3810002" y="7696201"/>
          <a:ext cx="3352798" cy="1457324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11</xdr:col>
      <xdr:colOff>133352</xdr:colOff>
      <xdr:row>40</xdr:row>
      <xdr:rowOff>76201</xdr:rowOff>
    </xdr:from>
    <xdr:to>
      <xdr:col>17</xdr:col>
      <xdr:colOff>371475</xdr:colOff>
      <xdr:row>48</xdr:row>
      <xdr:rowOff>9525</xdr:rowOff>
    </xdr:to>
    <xdr:sp macro="" textlink="">
      <xdr:nvSpPr>
        <xdr:cNvPr id="1042" name="Paralelogramo 1041">
          <a:extLst>
            <a:ext uri="{FF2B5EF4-FFF2-40B4-BE49-F238E27FC236}">
              <a16:creationId xmlns:a16="http://schemas.microsoft.com/office/drawing/2014/main" id="{1AE10BAE-B2B3-1ABF-EA0E-C820FE0D04AD}"/>
            </a:ext>
          </a:extLst>
        </xdr:cNvPr>
        <xdr:cNvSpPr/>
      </xdr:nvSpPr>
      <xdr:spPr>
        <a:xfrm>
          <a:off x="6838952" y="7696201"/>
          <a:ext cx="3895723" cy="1457324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7</xdr:col>
      <xdr:colOff>171450</xdr:colOff>
      <xdr:row>16</xdr:row>
      <xdr:rowOff>152401</xdr:rowOff>
    </xdr:from>
    <xdr:to>
      <xdr:col>17</xdr:col>
      <xdr:colOff>361950</xdr:colOff>
      <xdr:row>23</xdr:row>
      <xdr:rowOff>28575</xdr:rowOff>
    </xdr:to>
    <xdr:sp macro="" textlink="">
      <xdr:nvSpPr>
        <xdr:cNvPr id="50" name="Paralelogramo 49">
          <a:extLst>
            <a:ext uri="{FF2B5EF4-FFF2-40B4-BE49-F238E27FC236}">
              <a16:creationId xmlns:a16="http://schemas.microsoft.com/office/drawing/2014/main" id="{A93AAC5E-59CC-9C7E-2CFC-0486B9F088BE}"/>
            </a:ext>
          </a:extLst>
        </xdr:cNvPr>
        <xdr:cNvSpPr/>
      </xdr:nvSpPr>
      <xdr:spPr>
        <a:xfrm>
          <a:off x="4438650" y="3200401"/>
          <a:ext cx="6286500" cy="1209674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0</xdr:col>
      <xdr:colOff>95251</xdr:colOff>
      <xdr:row>16</xdr:row>
      <xdr:rowOff>152401</xdr:rowOff>
    </xdr:from>
    <xdr:to>
      <xdr:col>7</xdr:col>
      <xdr:colOff>438150</xdr:colOff>
      <xdr:row>23</xdr:row>
      <xdr:rowOff>28575</xdr:rowOff>
    </xdr:to>
    <xdr:sp macro="" textlink="">
      <xdr:nvSpPr>
        <xdr:cNvPr id="47" name="Paralelogramo 46">
          <a:extLst>
            <a:ext uri="{FF2B5EF4-FFF2-40B4-BE49-F238E27FC236}">
              <a16:creationId xmlns:a16="http://schemas.microsoft.com/office/drawing/2014/main" id="{C7698AA5-E157-4831-B17D-94976FCDABC8}"/>
            </a:ext>
          </a:extLst>
        </xdr:cNvPr>
        <xdr:cNvSpPr/>
      </xdr:nvSpPr>
      <xdr:spPr>
        <a:xfrm>
          <a:off x="95251" y="3200401"/>
          <a:ext cx="4610099" cy="1209674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9</xdr:col>
      <xdr:colOff>342900</xdr:colOff>
      <xdr:row>4</xdr:row>
      <xdr:rowOff>9526</xdr:rowOff>
    </xdr:from>
    <xdr:to>
      <xdr:col>17</xdr:col>
      <xdr:colOff>304800</xdr:colOff>
      <xdr:row>10</xdr:row>
      <xdr:rowOff>76200</xdr:rowOff>
    </xdr:to>
    <xdr:sp macro="" textlink="">
      <xdr:nvSpPr>
        <xdr:cNvPr id="19" name="Paralelogramo 18">
          <a:extLst>
            <a:ext uri="{FF2B5EF4-FFF2-40B4-BE49-F238E27FC236}">
              <a16:creationId xmlns:a16="http://schemas.microsoft.com/office/drawing/2014/main" id="{4AC9E610-18B1-8D0E-AC78-D3024B746208}"/>
            </a:ext>
          </a:extLst>
        </xdr:cNvPr>
        <xdr:cNvSpPr/>
      </xdr:nvSpPr>
      <xdr:spPr>
        <a:xfrm>
          <a:off x="5829300" y="771526"/>
          <a:ext cx="4838700" cy="1209674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5</xdr:col>
      <xdr:colOff>19050</xdr:colOff>
      <xdr:row>5</xdr:row>
      <xdr:rowOff>38100</xdr:rowOff>
    </xdr:from>
    <xdr:to>
      <xdr:col>9</xdr:col>
      <xdr:colOff>552449</xdr:colOff>
      <xdr:row>9</xdr:row>
      <xdr:rowOff>47625</xdr:rowOff>
    </xdr:to>
    <xdr:sp macro="" textlink="">
      <xdr:nvSpPr>
        <xdr:cNvPr id="16" name="Paralelogramo 15">
          <a:extLst>
            <a:ext uri="{FF2B5EF4-FFF2-40B4-BE49-F238E27FC236}">
              <a16:creationId xmlns:a16="http://schemas.microsoft.com/office/drawing/2014/main" id="{BCA87C3F-AFEA-4AB0-9ABD-BA08871ACF27}"/>
            </a:ext>
          </a:extLst>
        </xdr:cNvPr>
        <xdr:cNvSpPr/>
      </xdr:nvSpPr>
      <xdr:spPr>
        <a:xfrm>
          <a:off x="3067050" y="990600"/>
          <a:ext cx="2971799" cy="771525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0</xdr:col>
      <xdr:colOff>95250</xdr:colOff>
      <xdr:row>5</xdr:row>
      <xdr:rowOff>38100</xdr:rowOff>
    </xdr:from>
    <xdr:to>
      <xdr:col>5</xdr:col>
      <xdr:colOff>171450</xdr:colOff>
      <xdr:row>9</xdr:row>
      <xdr:rowOff>47625</xdr:rowOff>
    </xdr:to>
    <xdr:sp macro="" textlink="">
      <xdr:nvSpPr>
        <xdr:cNvPr id="9" name="Paralelogramo 8">
          <a:extLst>
            <a:ext uri="{FF2B5EF4-FFF2-40B4-BE49-F238E27FC236}">
              <a16:creationId xmlns:a16="http://schemas.microsoft.com/office/drawing/2014/main" id="{1A89387D-2D98-30F5-2635-CAF235421B79}"/>
            </a:ext>
          </a:extLst>
        </xdr:cNvPr>
        <xdr:cNvSpPr/>
      </xdr:nvSpPr>
      <xdr:spPr>
        <a:xfrm>
          <a:off x="95250" y="990600"/>
          <a:ext cx="3124200" cy="771525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0</xdr:col>
      <xdr:colOff>542924</xdr:colOff>
      <xdr:row>1</xdr:row>
      <xdr:rowOff>180976</xdr:rowOff>
    </xdr:from>
    <xdr:to>
      <xdr:col>4</xdr:col>
      <xdr:colOff>571500</xdr:colOff>
      <xdr:row>11</xdr:row>
      <xdr:rowOff>33524</xdr:rowOff>
    </xdr:to>
    <xdr:grpSp>
      <xdr:nvGrpSpPr>
        <xdr:cNvPr id="1082" name="dinero disponible">
          <a:extLst>
            <a:ext uri="{FF2B5EF4-FFF2-40B4-BE49-F238E27FC236}">
              <a16:creationId xmlns:a16="http://schemas.microsoft.com/office/drawing/2014/main" id="{A1256248-82A2-230E-8A24-40E8346AA5AF}"/>
            </a:ext>
          </a:extLst>
        </xdr:cNvPr>
        <xdr:cNvGrpSpPr/>
      </xdr:nvGrpSpPr>
      <xdr:grpSpPr>
        <a:xfrm>
          <a:off x="542924" y="371476"/>
          <a:ext cx="2466976" cy="1757548"/>
          <a:chOff x="533399" y="542926"/>
          <a:chExt cx="2466976" cy="1757548"/>
        </a:xfrm>
      </xdr:grpSpPr>
      <xdr:sp macro="" textlink="">
        <xdr:nvSpPr>
          <xdr:cNvPr id="2" name="Rectángulo: esquinas diagonales redondeadas 1">
            <a:extLst>
              <a:ext uri="{FF2B5EF4-FFF2-40B4-BE49-F238E27FC236}">
                <a16:creationId xmlns:a16="http://schemas.microsoft.com/office/drawing/2014/main" id="{1439E0BA-5C6C-44C1-E0B3-BE9CB043DCEF}"/>
              </a:ext>
            </a:extLst>
          </xdr:cNvPr>
          <xdr:cNvSpPr/>
        </xdr:nvSpPr>
        <xdr:spPr>
          <a:xfrm>
            <a:off x="533399" y="752474"/>
            <a:ext cx="2268000" cy="1548000"/>
          </a:xfrm>
          <a:prstGeom prst="round2DiagRect">
            <a:avLst/>
          </a:prstGeom>
          <a:solidFill>
            <a:srgbClr val="98E28E"/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 kern="1200"/>
          </a:p>
        </xdr:txBody>
      </xdr:sp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A0CF47D4-C28A-0B65-5889-B832B3885958}"/>
              </a:ext>
            </a:extLst>
          </xdr:cNvPr>
          <xdr:cNvSpPr txBox="1"/>
        </xdr:nvSpPr>
        <xdr:spPr>
          <a:xfrm>
            <a:off x="800101" y="933450"/>
            <a:ext cx="1743074" cy="4095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AR" sz="1400" b="1" i="1" kern="1200">
                <a:latin typeface="Century Gothic" panose="020B0502020202020204" pitchFamily="34" charset="0"/>
              </a:rPr>
              <a:t>Dinero disponible</a:t>
            </a:r>
          </a:p>
        </xdr:txBody>
      </xdr:sp>
      <xdr:pic>
        <xdr:nvPicPr>
          <xdr:cNvPr id="10" name="Imagen 9">
            <a:extLst>
              <a:ext uri="{FF2B5EF4-FFF2-40B4-BE49-F238E27FC236}">
                <a16:creationId xmlns:a16="http://schemas.microsoft.com/office/drawing/2014/main" id="{3780E540-44F7-302D-ED28-DDC6EEBDE0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514601" y="542926"/>
            <a:ext cx="485774" cy="485774"/>
          </a:xfrm>
          <a:prstGeom prst="rect">
            <a:avLst/>
          </a:prstGeom>
        </xdr:spPr>
      </xdr:pic>
      <xdr:sp macro="" textlink="dinero_disponible">
        <xdr:nvSpPr>
          <xdr:cNvPr id="11" name="CuadroTexto 10">
            <a:extLst>
              <a:ext uri="{FF2B5EF4-FFF2-40B4-BE49-F238E27FC236}">
                <a16:creationId xmlns:a16="http://schemas.microsoft.com/office/drawing/2014/main" id="{6C097E7A-2E44-6BBA-395F-5E9194868038}"/>
              </a:ext>
            </a:extLst>
          </xdr:cNvPr>
          <xdr:cNvSpPr txBox="1"/>
        </xdr:nvSpPr>
        <xdr:spPr>
          <a:xfrm>
            <a:off x="742950" y="1504950"/>
            <a:ext cx="1781175" cy="333375"/>
          </a:xfrm>
          <a:prstGeom prst="rect">
            <a:avLst/>
          </a:prstGeom>
          <a:noFill/>
          <a:ln w="9525" cmpd="sng">
            <a:noFill/>
          </a:ln>
          <a:effectLst>
            <a:reflection blurRad="6350" stA="52000" endA="300" endPos="35000" dir="5400000" sy="-100000" algn="bl" rotWithShape="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B09121C6-FADF-483F-8CDA-3868B3187652}" type="TxLink">
              <a:rPr lang="en-US" sz="2000" b="1" i="1" u="none" strike="noStrike" kern="120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Calibri"/>
              </a:rPr>
              <a:pPr marL="0" indent="0" algn="ctr"/>
              <a:t>$ 1</a:t>
            </a:fld>
            <a:endParaRPr lang="es-AR" sz="2000" b="1" i="1" u="none" strike="noStrike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</xdr:col>
      <xdr:colOff>161925</xdr:colOff>
      <xdr:row>2</xdr:row>
      <xdr:rowOff>9524</xdr:rowOff>
    </xdr:from>
    <xdr:to>
      <xdr:col>1</xdr:col>
      <xdr:colOff>485775</xdr:colOff>
      <xdr:row>3</xdr:row>
      <xdr:rowOff>142874</xdr:rowOff>
    </xdr:to>
    <xdr:pic macro="[0]!ExplicacionDineroDisponible">
      <xdr:nvPicPr>
        <xdr:cNvPr id="6" name="Tooltip_15">
          <a:extLst>
            <a:ext uri="{FF2B5EF4-FFF2-40B4-BE49-F238E27FC236}">
              <a16:creationId xmlns:a16="http://schemas.microsoft.com/office/drawing/2014/main" id="{CAA375CD-EDAB-8BAA-9BAB-2CCC28D12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1525" y="390524"/>
          <a:ext cx="323850" cy="323850"/>
        </a:xfrm>
        <a:prstGeom prst="rect">
          <a:avLst/>
        </a:prstGeom>
      </xdr:spPr>
    </xdr:pic>
    <xdr:clientData/>
  </xdr:twoCellAnchor>
  <xdr:twoCellAnchor>
    <xdr:from>
      <xdr:col>5</xdr:col>
      <xdr:colOff>333373</xdr:colOff>
      <xdr:row>1</xdr:row>
      <xdr:rowOff>180975</xdr:rowOff>
    </xdr:from>
    <xdr:to>
      <xdr:col>9</xdr:col>
      <xdr:colOff>314325</xdr:colOff>
      <xdr:row>11</xdr:row>
      <xdr:rowOff>33524</xdr:rowOff>
    </xdr:to>
    <xdr:grpSp>
      <xdr:nvGrpSpPr>
        <xdr:cNvPr id="1081" name="dinero total">
          <a:extLst>
            <a:ext uri="{FF2B5EF4-FFF2-40B4-BE49-F238E27FC236}">
              <a16:creationId xmlns:a16="http://schemas.microsoft.com/office/drawing/2014/main" id="{784F040B-1268-8F84-5161-DFD4A27C9162}"/>
            </a:ext>
          </a:extLst>
        </xdr:cNvPr>
        <xdr:cNvGrpSpPr/>
      </xdr:nvGrpSpPr>
      <xdr:grpSpPr>
        <a:xfrm>
          <a:off x="3381373" y="371475"/>
          <a:ext cx="2419352" cy="1757549"/>
          <a:chOff x="3600448" y="542925"/>
          <a:chExt cx="2419352" cy="1757549"/>
        </a:xfrm>
      </xdr:grpSpPr>
      <xdr:sp macro="" textlink="">
        <xdr:nvSpPr>
          <xdr:cNvPr id="13" name="Rectángulo: esquinas diagonales redondeadas 12">
            <a:extLst>
              <a:ext uri="{FF2B5EF4-FFF2-40B4-BE49-F238E27FC236}">
                <a16:creationId xmlns:a16="http://schemas.microsoft.com/office/drawing/2014/main" id="{D27E826B-C3E7-4D66-B0FF-7EDCAAC76C39}"/>
              </a:ext>
            </a:extLst>
          </xdr:cNvPr>
          <xdr:cNvSpPr/>
        </xdr:nvSpPr>
        <xdr:spPr>
          <a:xfrm>
            <a:off x="3600448" y="752474"/>
            <a:ext cx="2268000" cy="1548000"/>
          </a:xfrm>
          <a:prstGeom prst="round2DiagRect">
            <a:avLst/>
          </a:prstGeom>
          <a:solidFill>
            <a:srgbClr val="98E28E"/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 kern="1200"/>
          </a:p>
        </xdr:txBody>
      </xdr:sp>
      <xdr:sp macro="" textlink="">
        <xdr:nvSpPr>
          <xdr:cNvPr id="14" name="CuadroTexto 13">
            <a:extLst>
              <a:ext uri="{FF2B5EF4-FFF2-40B4-BE49-F238E27FC236}">
                <a16:creationId xmlns:a16="http://schemas.microsoft.com/office/drawing/2014/main" id="{FB06DE50-50AA-4762-9182-19A83A38C1E9}"/>
              </a:ext>
            </a:extLst>
          </xdr:cNvPr>
          <xdr:cNvSpPr txBox="1"/>
        </xdr:nvSpPr>
        <xdr:spPr>
          <a:xfrm>
            <a:off x="3981450" y="942975"/>
            <a:ext cx="1562100" cy="4095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AR" sz="1400" b="1" i="1" kern="1200">
                <a:latin typeface="Century Gothic" panose="020B0502020202020204" pitchFamily="34" charset="0"/>
              </a:rPr>
              <a:t>Dinero </a:t>
            </a:r>
            <a:r>
              <a:rPr lang="es-AR" sz="1400" b="1" i="1" kern="1200">
                <a:solidFill>
                  <a:schemeClr val="dk1"/>
                </a:solidFill>
                <a:latin typeface="Century Gothic" panose="020B0502020202020204" pitchFamily="34" charset="0"/>
                <a:ea typeface="+mn-ea"/>
                <a:cs typeface="+mn-cs"/>
              </a:rPr>
              <a:t>total</a:t>
            </a:r>
          </a:p>
        </xdr:txBody>
      </xdr:sp>
      <xdr:sp macro="" textlink="dinero_total">
        <xdr:nvSpPr>
          <xdr:cNvPr id="15" name="CuadroTexto 14">
            <a:extLst>
              <a:ext uri="{FF2B5EF4-FFF2-40B4-BE49-F238E27FC236}">
                <a16:creationId xmlns:a16="http://schemas.microsoft.com/office/drawing/2014/main" id="{02F599D4-CCB9-4885-B81D-D917BAA016C9}"/>
              </a:ext>
            </a:extLst>
          </xdr:cNvPr>
          <xdr:cNvSpPr txBox="1"/>
        </xdr:nvSpPr>
        <xdr:spPr>
          <a:xfrm>
            <a:off x="3857624" y="1504950"/>
            <a:ext cx="1781175" cy="333375"/>
          </a:xfrm>
          <a:prstGeom prst="rect">
            <a:avLst/>
          </a:prstGeom>
          <a:noFill/>
          <a:ln w="9525" cmpd="sng">
            <a:noFill/>
          </a:ln>
          <a:effectLst>
            <a:reflection blurRad="6350" stA="52000" endA="300" endPos="35000" dir="5400000" sy="-100000" algn="bl" rotWithShape="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5030D71-DEA3-4E05-900D-8477B699F1CD}" type="TxLink">
              <a:rPr lang="en-US" sz="2000" b="1" i="1" u="none" strike="noStrike" kern="120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Calibri"/>
              </a:rPr>
              <a:pPr marL="0" indent="0" algn="ctr"/>
              <a:t>$ 2</a:t>
            </a:fld>
            <a:endParaRPr lang="es-AR" sz="2000" b="1" i="1" u="none" strike="noStrike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Calibri"/>
            </a:endParaRPr>
          </a:p>
        </xdr:txBody>
      </xdr:sp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2A01A71D-EF09-9985-BAA7-1FE7EC6B8D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610225" y="542925"/>
            <a:ext cx="409575" cy="40957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5</xdr:col>
      <xdr:colOff>581025</xdr:colOff>
      <xdr:row>2</xdr:row>
      <xdr:rowOff>9524</xdr:rowOff>
    </xdr:from>
    <xdr:to>
      <xdr:col>6</xdr:col>
      <xdr:colOff>295275</xdr:colOff>
      <xdr:row>3</xdr:row>
      <xdr:rowOff>142874</xdr:rowOff>
    </xdr:to>
    <xdr:pic macro="[0]!ExplicacionDineroTotal">
      <xdr:nvPicPr>
        <xdr:cNvPr id="7" name="Tooltip_14">
          <a:extLst>
            <a:ext uri="{FF2B5EF4-FFF2-40B4-BE49-F238E27FC236}">
              <a16:creationId xmlns:a16="http://schemas.microsoft.com/office/drawing/2014/main" id="{B831B25D-2F3B-4C44-882B-1CE77F72B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29025" y="390524"/>
          <a:ext cx="323850" cy="32385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0</xdr:col>
      <xdr:colOff>95249</xdr:colOff>
      <xdr:row>27</xdr:row>
      <xdr:rowOff>181906</xdr:rowOff>
    </xdr:from>
    <xdr:to>
      <xdr:col>12</xdr:col>
      <xdr:colOff>600075</xdr:colOff>
      <xdr:row>33</xdr:row>
      <xdr:rowOff>66675</xdr:rowOff>
    </xdr:to>
    <xdr:sp macro="" textlink="">
      <xdr:nvSpPr>
        <xdr:cNvPr id="35" name="Paralelogramo 34">
          <a:extLst>
            <a:ext uri="{FF2B5EF4-FFF2-40B4-BE49-F238E27FC236}">
              <a16:creationId xmlns:a16="http://schemas.microsoft.com/office/drawing/2014/main" id="{E3224973-28F0-4788-A0C7-274E0AD568DC}"/>
            </a:ext>
          </a:extLst>
        </xdr:cNvPr>
        <xdr:cNvSpPr/>
      </xdr:nvSpPr>
      <xdr:spPr>
        <a:xfrm>
          <a:off x="95249" y="5325406"/>
          <a:ext cx="7820026" cy="1027769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0</xdr:col>
      <xdr:colOff>295275</xdr:colOff>
      <xdr:row>27</xdr:row>
      <xdr:rowOff>9095</xdr:rowOff>
    </xdr:from>
    <xdr:to>
      <xdr:col>12</xdr:col>
      <xdr:colOff>314325</xdr:colOff>
      <xdr:row>33</xdr:row>
      <xdr:rowOff>21197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2" name="Fecha">
              <a:extLst>
                <a:ext uri="{FF2B5EF4-FFF2-40B4-BE49-F238E27FC236}">
                  <a16:creationId xmlns:a16="http://schemas.microsoft.com/office/drawing/2014/main" id="{251F3EAB-C6A5-4839-9860-58C83C7649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5275" y="5152595"/>
              <a:ext cx="7334250" cy="115510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Línea de tiempo: Funciona en Excel 2013 o superior. No mover ni cambiar el tamaño.</a:t>
              </a:r>
            </a:p>
          </xdr:txBody>
        </xdr:sp>
      </mc:Fallback>
    </mc:AlternateContent>
    <xdr:clientData fLocksWithSheet="0"/>
  </xdr:twoCellAnchor>
  <xdr:twoCellAnchor>
    <xdr:from>
      <xdr:col>12</xdr:col>
      <xdr:colOff>371475</xdr:colOff>
      <xdr:row>27</xdr:row>
      <xdr:rowOff>181906</xdr:rowOff>
    </xdr:from>
    <xdr:to>
      <xdr:col>17</xdr:col>
      <xdr:colOff>371475</xdr:colOff>
      <xdr:row>33</xdr:row>
      <xdr:rowOff>66675</xdr:rowOff>
    </xdr:to>
    <xdr:sp macro="" textlink="">
      <xdr:nvSpPr>
        <xdr:cNvPr id="29" name="Paralelogramo 28">
          <a:extLst>
            <a:ext uri="{FF2B5EF4-FFF2-40B4-BE49-F238E27FC236}">
              <a16:creationId xmlns:a16="http://schemas.microsoft.com/office/drawing/2014/main" id="{9F37C580-D0CB-B742-286D-8D33F0CBB6A4}"/>
            </a:ext>
          </a:extLst>
        </xdr:cNvPr>
        <xdr:cNvSpPr/>
      </xdr:nvSpPr>
      <xdr:spPr>
        <a:xfrm>
          <a:off x="7686675" y="5325406"/>
          <a:ext cx="3048000" cy="1027769"/>
        </a:xfrm>
        <a:prstGeom prst="parallelogram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1</xdr:col>
      <xdr:colOff>9525</xdr:colOff>
      <xdr:row>27</xdr:row>
      <xdr:rowOff>0</xdr:rowOff>
    </xdr:from>
    <xdr:to>
      <xdr:col>1</xdr:col>
      <xdr:colOff>333375</xdr:colOff>
      <xdr:row>28</xdr:row>
      <xdr:rowOff>118740</xdr:rowOff>
    </xdr:to>
    <xdr:pic macro="[0]!ExplicacionEscalaDeTiempo">
      <xdr:nvPicPr>
        <xdr:cNvPr id="36" name="Tooltip_13">
          <a:extLst>
            <a:ext uri="{FF2B5EF4-FFF2-40B4-BE49-F238E27FC236}">
              <a16:creationId xmlns:a16="http://schemas.microsoft.com/office/drawing/2014/main" id="{44690639-29D7-4E0B-B520-8EBE0B180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9125" y="5143500"/>
          <a:ext cx="323850" cy="30924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13</xdr:col>
      <xdr:colOff>152399</xdr:colOff>
      <xdr:row>28</xdr:row>
      <xdr:rowOff>47625</xdr:rowOff>
    </xdr:from>
    <xdr:to>
      <xdr:col>17</xdr:col>
      <xdr:colOff>28574</xdr:colOff>
      <xdr:row>31</xdr:row>
      <xdr:rowOff>38101</xdr:rowOff>
    </xdr:to>
    <xdr:grpSp>
      <xdr:nvGrpSpPr>
        <xdr:cNvPr id="1079" name="actualizar">
          <a:extLst>
            <a:ext uri="{FF2B5EF4-FFF2-40B4-BE49-F238E27FC236}">
              <a16:creationId xmlns:a16="http://schemas.microsoft.com/office/drawing/2014/main" id="{D8F1D02F-6FE6-FBA2-3A6F-E6080A9A20B3}"/>
            </a:ext>
          </a:extLst>
        </xdr:cNvPr>
        <xdr:cNvGrpSpPr/>
      </xdr:nvGrpSpPr>
      <xdr:grpSpPr>
        <a:xfrm>
          <a:off x="8077199" y="5381625"/>
          <a:ext cx="2314575" cy="561976"/>
          <a:chOff x="7934324" y="5562600"/>
          <a:chExt cx="2314575" cy="561976"/>
        </a:xfrm>
      </xdr:grpSpPr>
      <xdr:pic macro="[0]!Actualizar">
        <xdr:nvPicPr>
          <xdr:cNvPr id="21" name="Imagen 20">
            <a:extLst>
              <a:ext uri="{FF2B5EF4-FFF2-40B4-BE49-F238E27FC236}">
                <a16:creationId xmlns:a16="http://schemas.microsoft.com/office/drawing/2014/main" id="{9C9ED0AA-93C8-9AA5-A666-3D1CEBE7463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duotone>
              <a:prstClr val="black"/>
              <a:srgbClr val="B3E5FC">
                <a:tint val="45000"/>
                <a:satMod val="400000"/>
              </a:srgb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172" t="75241" r="5050" b="2955"/>
          <a:stretch/>
        </xdr:blipFill>
        <xdr:spPr>
          <a:xfrm>
            <a:off x="7934324" y="5562600"/>
            <a:ext cx="2314575" cy="561976"/>
          </a:xfrm>
          <a:prstGeom prst="rect">
            <a:avLst/>
          </a:prstGeom>
        </xdr:spPr>
      </xdr:pic>
      <xdr:sp macro="[0]!Actualizar" textlink="">
        <xdr:nvSpPr>
          <xdr:cNvPr id="23" name="CuadroTexto 22">
            <a:extLst>
              <a:ext uri="{FF2B5EF4-FFF2-40B4-BE49-F238E27FC236}">
                <a16:creationId xmlns:a16="http://schemas.microsoft.com/office/drawing/2014/main" id="{4B37F8AD-3DDE-4465-81D5-7C8E5DD395D8}"/>
              </a:ext>
            </a:extLst>
          </xdr:cNvPr>
          <xdr:cNvSpPr txBox="1"/>
        </xdr:nvSpPr>
        <xdr:spPr>
          <a:xfrm>
            <a:off x="8448675" y="5619750"/>
            <a:ext cx="1562100" cy="4095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AR" sz="1600" b="1" i="1" kern="1200">
                <a:latin typeface="Century Gothic" panose="020B0502020202020204" pitchFamily="34" charset="0"/>
              </a:rPr>
              <a:t>Actualizar</a:t>
            </a:r>
          </a:p>
        </xdr:txBody>
      </xdr:sp>
      <xdr:pic macro="[0]!Actualizar">
        <xdr:nvPicPr>
          <xdr:cNvPr id="30" name="Imagen 29">
            <a:extLst>
              <a:ext uri="{FF2B5EF4-FFF2-40B4-BE49-F238E27FC236}">
                <a16:creationId xmlns:a16="http://schemas.microsoft.com/office/drawing/2014/main" id="{F112EC71-CE39-409D-6E62-123B762C1A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8071335" y="5680559"/>
            <a:ext cx="307005" cy="307005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76200</xdr:colOff>
      <xdr:row>27</xdr:row>
      <xdr:rowOff>66675</xdr:rowOff>
    </xdr:from>
    <xdr:to>
      <xdr:col>14</xdr:col>
      <xdr:colOff>400050</xdr:colOff>
      <xdr:row>29</xdr:row>
      <xdr:rowOff>9525</xdr:rowOff>
    </xdr:to>
    <xdr:pic macro="[0]!ExplicacionActualizar">
      <xdr:nvPicPr>
        <xdr:cNvPr id="34" name="Tooltip_12">
          <a:extLst>
            <a:ext uri="{FF2B5EF4-FFF2-40B4-BE49-F238E27FC236}">
              <a16:creationId xmlns:a16="http://schemas.microsoft.com/office/drawing/2014/main" id="{00651847-7F5A-4408-BCE4-084D4ACA0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10600" y="5210175"/>
          <a:ext cx="323850" cy="323850"/>
        </a:xfrm>
        <a:prstGeom prst="rect">
          <a:avLst/>
        </a:prstGeom>
      </xdr:spPr>
    </xdr:pic>
    <xdr:clientData/>
  </xdr:twoCellAnchor>
  <xdr:twoCellAnchor>
    <xdr:from>
      <xdr:col>0</xdr:col>
      <xdr:colOff>533402</xdr:colOff>
      <xdr:row>36</xdr:row>
      <xdr:rowOff>152400</xdr:rowOff>
    </xdr:from>
    <xdr:to>
      <xdr:col>7</xdr:col>
      <xdr:colOff>57149</xdr:colOff>
      <xdr:row>50</xdr:row>
      <xdr:rowOff>95250</xdr:rowOff>
    </xdr:to>
    <xdr:grpSp>
      <xdr:nvGrpSpPr>
        <xdr:cNvPr id="1078" name="gastos categorias">
          <a:extLst>
            <a:ext uri="{FF2B5EF4-FFF2-40B4-BE49-F238E27FC236}">
              <a16:creationId xmlns:a16="http://schemas.microsoft.com/office/drawing/2014/main" id="{31285688-C820-511B-C702-8C3A946AC35B}"/>
            </a:ext>
          </a:extLst>
        </xdr:cNvPr>
        <xdr:cNvGrpSpPr/>
      </xdr:nvGrpSpPr>
      <xdr:grpSpPr>
        <a:xfrm>
          <a:off x="533402" y="7010400"/>
          <a:ext cx="3790947" cy="2609850"/>
          <a:chOff x="533402" y="7010400"/>
          <a:chExt cx="3790947" cy="2609850"/>
        </a:xfrm>
      </xdr:grpSpPr>
      <xdr:sp macro="" textlink="">
        <xdr:nvSpPr>
          <xdr:cNvPr id="1036" name="Rectángulo: esquinas diagonales redondeadas 1035">
            <a:extLst>
              <a:ext uri="{FF2B5EF4-FFF2-40B4-BE49-F238E27FC236}">
                <a16:creationId xmlns:a16="http://schemas.microsoft.com/office/drawing/2014/main" id="{6493731D-8CAC-4955-B23F-7158E33E5151}"/>
              </a:ext>
            </a:extLst>
          </xdr:cNvPr>
          <xdr:cNvSpPr/>
        </xdr:nvSpPr>
        <xdr:spPr>
          <a:xfrm>
            <a:off x="533402" y="7124699"/>
            <a:ext cx="3267073" cy="2495551"/>
          </a:xfrm>
          <a:prstGeom prst="round2DiagRect">
            <a:avLst/>
          </a:prstGeom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 kern="1200">
              <a:solidFill>
                <a:sysClr val="windowText" lastClr="000000"/>
              </a:solidFill>
            </a:endParaRPr>
          </a:p>
        </xdr:txBody>
      </xdr:sp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3021325A-9E3F-4C06-B266-D14E1DB8FBD5}"/>
              </a:ext>
            </a:extLst>
          </xdr:cNvPr>
          <xdr:cNvGraphicFramePr>
            <a:graphicFrameLocks/>
          </xdr:cNvGraphicFramePr>
        </xdr:nvGraphicFramePr>
        <xdr:xfrm>
          <a:off x="838200" y="7172325"/>
          <a:ext cx="3486149" cy="2400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Scroll Bar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609600" y="7743825"/>
                <a:ext cx="238125" cy="1704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  <xdr:pic>
        <xdr:nvPicPr>
          <xdr:cNvPr id="1045" name="Imagen 1044">
            <a:extLst>
              <a:ext uri="{FF2B5EF4-FFF2-40B4-BE49-F238E27FC236}">
                <a16:creationId xmlns:a16="http://schemas.microsoft.com/office/drawing/2014/main" id="{235588A0-7993-EAE4-9CB3-EC6A57567C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33777" y="7010400"/>
            <a:ext cx="381000" cy="381000"/>
          </a:xfrm>
          <a:prstGeom prst="rect">
            <a:avLst/>
          </a:prstGeom>
        </xdr:spPr>
      </xdr:pic>
      <xdr:sp macro="" textlink="gastos">
        <xdr:nvSpPr>
          <xdr:cNvPr id="17" name="CuadroTexto 16">
            <a:extLst>
              <a:ext uri="{FF2B5EF4-FFF2-40B4-BE49-F238E27FC236}">
                <a16:creationId xmlns:a16="http://schemas.microsoft.com/office/drawing/2014/main" id="{73D8FF9F-0EB3-E1F9-1A3B-FABD667B5F09}"/>
              </a:ext>
            </a:extLst>
          </xdr:cNvPr>
          <xdr:cNvSpPr txBox="1"/>
        </xdr:nvSpPr>
        <xdr:spPr>
          <a:xfrm>
            <a:off x="2047873" y="7172325"/>
            <a:ext cx="1638301" cy="34394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26C96C19-C48D-4B82-9ACF-B11F7CDDD30A}" type="TxLink">
              <a:rPr lang="en-US" sz="1600" b="1" i="1" u="none" strike="noStrike" kern="120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Calibri"/>
              </a:rPr>
              <a:pPr marL="0" indent="0" algn="l"/>
              <a:t>$ 1</a:t>
            </a:fld>
            <a:endParaRPr lang="es-AR" sz="1600" b="1" i="1" u="none" strike="noStrike" kern="120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</xdr:col>
      <xdr:colOff>180975</xdr:colOff>
      <xdr:row>36</xdr:row>
      <xdr:rowOff>66675</xdr:rowOff>
    </xdr:from>
    <xdr:to>
      <xdr:col>1</xdr:col>
      <xdr:colOff>504825</xdr:colOff>
      <xdr:row>38</xdr:row>
      <xdr:rowOff>9525</xdr:rowOff>
    </xdr:to>
    <xdr:pic macro="[0]!ExplicacionCategoriaGastos">
      <xdr:nvPicPr>
        <xdr:cNvPr id="43" name="Tooltip_10">
          <a:extLst>
            <a:ext uri="{FF2B5EF4-FFF2-40B4-BE49-F238E27FC236}">
              <a16:creationId xmlns:a16="http://schemas.microsoft.com/office/drawing/2014/main" id="{E3899293-D82C-4EA0-B28B-831C0F23E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0575" y="6924675"/>
          <a:ext cx="323850" cy="32385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8</xdr:col>
      <xdr:colOff>209551</xdr:colOff>
      <xdr:row>13</xdr:row>
      <xdr:rowOff>161925</xdr:rowOff>
    </xdr:from>
    <xdr:to>
      <xdr:col>16</xdr:col>
      <xdr:colOff>476250</xdr:colOff>
      <xdr:row>24</xdr:row>
      <xdr:rowOff>152400</xdr:rowOff>
    </xdr:to>
    <xdr:grpSp>
      <xdr:nvGrpSpPr>
        <xdr:cNvPr id="1077" name="ingreso mensual">
          <a:extLst>
            <a:ext uri="{FF2B5EF4-FFF2-40B4-BE49-F238E27FC236}">
              <a16:creationId xmlns:a16="http://schemas.microsoft.com/office/drawing/2014/main" id="{FD41DA09-F1B1-EA5D-B3F7-767720582086}"/>
            </a:ext>
          </a:extLst>
        </xdr:cNvPr>
        <xdr:cNvGrpSpPr/>
      </xdr:nvGrpSpPr>
      <xdr:grpSpPr>
        <a:xfrm>
          <a:off x="5086351" y="2638425"/>
          <a:ext cx="5143499" cy="2085975"/>
          <a:chOff x="5086351" y="2638425"/>
          <a:chExt cx="5143499" cy="2085975"/>
        </a:xfrm>
      </xdr:grpSpPr>
      <xdr:sp macro="" textlink="">
        <xdr:nvSpPr>
          <xdr:cNvPr id="49" name="Rectángulo: esquinas diagonales redondeadas 48">
            <a:extLst>
              <a:ext uri="{FF2B5EF4-FFF2-40B4-BE49-F238E27FC236}">
                <a16:creationId xmlns:a16="http://schemas.microsoft.com/office/drawing/2014/main" id="{3764D73A-B94D-3E39-E14B-63A1827405DD}"/>
              </a:ext>
            </a:extLst>
          </xdr:cNvPr>
          <xdr:cNvSpPr/>
        </xdr:nvSpPr>
        <xdr:spPr>
          <a:xfrm>
            <a:off x="5086351" y="2876550"/>
            <a:ext cx="5029199" cy="1828800"/>
          </a:xfrm>
          <a:prstGeom prst="round2Diag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 kern="1200">
              <a:solidFill>
                <a:sysClr val="windowText" lastClr="000000"/>
              </a:solidFill>
            </a:endParaRPr>
          </a:p>
        </xdr:txBody>
      </xdr:sp>
      <xdr:sp macro="" textlink="ingresos">
        <xdr:nvSpPr>
          <xdr:cNvPr id="51" name="CuadroTexto 50">
            <a:extLst>
              <a:ext uri="{FF2B5EF4-FFF2-40B4-BE49-F238E27FC236}">
                <a16:creationId xmlns:a16="http://schemas.microsoft.com/office/drawing/2014/main" id="{822A7603-32B9-47AE-A272-A77842AFF63D}"/>
              </a:ext>
            </a:extLst>
          </xdr:cNvPr>
          <xdr:cNvSpPr txBox="1"/>
        </xdr:nvSpPr>
        <xdr:spPr>
          <a:xfrm>
            <a:off x="6686550" y="3171825"/>
            <a:ext cx="1781175" cy="33337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A301444-BED9-40CA-83F7-7F0DB2DF0AB5}" type="TxLink">
              <a:rPr lang="en-US" sz="2000" b="1" i="1" u="none" strike="noStrike" kern="120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Calibri"/>
              </a:rPr>
              <a:pPr marL="0" indent="0" algn="ctr"/>
              <a:t>$ 3</a:t>
            </a:fld>
            <a:endParaRPr lang="es-AR" sz="2000" b="1" i="1" u="none" strike="noStrike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Calibri"/>
            </a:endParaRPr>
          </a:p>
        </xdr:txBody>
      </xdr:sp>
      <xdr:graphicFrame macro="">
        <xdr:nvGraphicFramePr>
          <xdr:cNvPr id="52" name="Gráfico 51">
            <a:extLst>
              <a:ext uri="{FF2B5EF4-FFF2-40B4-BE49-F238E27FC236}">
                <a16:creationId xmlns:a16="http://schemas.microsoft.com/office/drawing/2014/main" id="{B340ADC6-CF50-48F9-ABD8-7B4449EF8B06}"/>
              </a:ext>
            </a:extLst>
          </xdr:cNvPr>
          <xdr:cNvGraphicFramePr>
            <a:graphicFrameLocks/>
          </xdr:cNvGraphicFramePr>
        </xdr:nvGraphicFramePr>
        <xdr:xfrm>
          <a:off x="5086351" y="2876550"/>
          <a:ext cx="5029199" cy="18478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pic>
        <xdr:nvPicPr>
          <xdr:cNvPr id="48" name="Imagen 47">
            <a:extLst>
              <a:ext uri="{FF2B5EF4-FFF2-40B4-BE49-F238E27FC236}">
                <a16:creationId xmlns:a16="http://schemas.microsoft.com/office/drawing/2014/main" id="{2934ED5E-4E78-4E78-D36D-F6AB1913E0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9715500" y="2638425"/>
            <a:ext cx="514350" cy="51435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447675</xdr:colOff>
      <xdr:row>14</xdr:row>
      <xdr:rowOff>28575</xdr:rowOff>
    </xdr:from>
    <xdr:to>
      <xdr:col>9</xdr:col>
      <xdr:colOff>161925</xdr:colOff>
      <xdr:row>15</xdr:row>
      <xdr:rowOff>161925</xdr:rowOff>
    </xdr:to>
    <xdr:pic macro="[0]!ExplicacionIngresoMensual">
      <xdr:nvPicPr>
        <xdr:cNvPr id="54" name="Tooltip_9">
          <a:extLst>
            <a:ext uri="{FF2B5EF4-FFF2-40B4-BE49-F238E27FC236}">
              <a16:creationId xmlns:a16="http://schemas.microsoft.com/office/drawing/2014/main" id="{A0F216A9-B023-40BA-A933-B448DA56A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24475" y="2695575"/>
          <a:ext cx="323850" cy="32385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6</xdr:col>
      <xdr:colOff>104774</xdr:colOff>
      <xdr:row>36</xdr:row>
      <xdr:rowOff>114982</xdr:rowOff>
    </xdr:from>
    <xdr:to>
      <xdr:col>11</xdr:col>
      <xdr:colOff>457200</xdr:colOff>
      <xdr:row>52</xdr:row>
      <xdr:rowOff>19050</xdr:rowOff>
    </xdr:to>
    <xdr:grpSp>
      <xdr:nvGrpSpPr>
        <xdr:cNvPr id="1076" name="grafico torta">
          <a:extLst>
            <a:ext uri="{FF2B5EF4-FFF2-40B4-BE49-F238E27FC236}">
              <a16:creationId xmlns:a16="http://schemas.microsoft.com/office/drawing/2014/main" id="{E75F79EA-3787-9881-35DC-6F2CA2E30C97}"/>
            </a:ext>
          </a:extLst>
        </xdr:cNvPr>
        <xdr:cNvGrpSpPr/>
      </xdr:nvGrpSpPr>
      <xdr:grpSpPr>
        <a:xfrm>
          <a:off x="3762374" y="6972982"/>
          <a:ext cx="3400426" cy="2952068"/>
          <a:chOff x="3762374" y="6972982"/>
          <a:chExt cx="3400426" cy="2952068"/>
        </a:xfrm>
      </xdr:grpSpPr>
      <xdr:sp macro="" textlink="">
        <xdr:nvSpPr>
          <xdr:cNvPr id="1037" name="Rectángulo: esquinas diagonales redondeadas 1036">
            <a:extLst>
              <a:ext uri="{FF2B5EF4-FFF2-40B4-BE49-F238E27FC236}">
                <a16:creationId xmlns:a16="http://schemas.microsoft.com/office/drawing/2014/main" id="{ED81276F-4855-CA39-2486-A0360AE1D297}"/>
              </a:ext>
            </a:extLst>
          </xdr:cNvPr>
          <xdr:cNvSpPr/>
        </xdr:nvSpPr>
        <xdr:spPr>
          <a:xfrm>
            <a:off x="4162424" y="7124699"/>
            <a:ext cx="2657476" cy="2495551"/>
          </a:xfrm>
          <a:prstGeom prst="round2DiagRect">
            <a:avLst/>
          </a:prstGeom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 kern="1200">
              <a:solidFill>
                <a:sysClr val="windowText" lastClr="000000"/>
              </a:solidFill>
            </a:endParaRPr>
          </a:p>
        </xdr:txBody>
      </xdr:sp>
      <xdr:graphicFrame macro="">
        <xdr:nvGraphicFramePr>
          <xdr:cNvPr id="5" name="Gráfico 4">
            <a:extLst>
              <a:ext uri="{FF2B5EF4-FFF2-40B4-BE49-F238E27FC236}">
                <a16:creationId xmlns:a16="http://schemas.microsoft.com/office/drawing/2014/main" id="{59C8FDDD-B7A2-410A-8B10-20043C648245}"/>
              </a:ext>
            </a:extLst>
          </xdr:cNvPr>
          <xdr:cNvGraphicFramePr>
            <a:graphicFrameLocks/>
          </xdr:cNvGraphicFramePr>
        </xdr:nvGraphicFramePr>
        <xdr:xfrm>
          <a:off x="3762374" y="7067550"/>
          <a:ext cx="3400426" cy="2857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pic>
        <xdr:nvPicPr>
          <xdr:cNvPr id="1048" name="Imagen 1047">
            <a:extLst>
              <a:ext uri="{FF2B5EF4-FFF2-40B4-BE49-F238E27FC236}">
                <a16:creationId xmlns:a16="http://schemas.microsoft.com/office/drawing/2014/main" id="{6E371C27-40EB-847A-7592-3EA37F3CC4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34152" y="6972982"/>
            <a:ext cx="446994" cy="44699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152400</xdr:colOff>
      <xdr:row>36</xdr:row>
      <xdr:rowOff>66675</xdr:rowOff>
    </xdr:from>
    <xdr:to>
      <xdr:col>7</xdr:col>
      <xdr:colOff>476250</xdr:colOff>
      <xdr:row>38</xdr:row>
      <xdr:rowOff>9525</xdr:rowOff>
    </xdr:to>
    <xdr:pic macro="[0]!ExplicacionGraficoTorta">
      <xdr:nvPicPr>
        <xdr:cNvPr id="44" name="Tooltip_8">
          <a:extLst>
            <a:ext uri="{FF2B5EF4-FFF2-40B4-BE49-F238E27FC236}">
              <a16:creationId xmlns:a16="http://schemas.microsoft.com/office/drawing/2014/main" id="{B6E8AC3D-4BD7-204E-5FCC-DA4750C43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19600" y="6924675"/>
          <a:ext cx="323850" cy="32385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11</xdr:col>
      <xdr:colOff>476250</xdr:colOff>
      <xdr:row>36</xdr:row>
      <xdr:rowOff>95250</xdr:rowOff>
    </xdr:from>
    <xdr:to>
      <xdr:col>16</xdr:col>
      <xdr:colOff>504826</xdr:colOff>
      <xdr:row>51</xdr:row>
      <xdr:rowOff>57150</xdr:rowOff>
    </xdr:to>
    <xdr:grpSp>
      <xdr:nvGrpSpPr>
        <xdr:cNvPr id="1075" name="grafico semanal">
          <a:extLst>
            <a:ext uri="{FF2B5EF4-FFF2-40B4-BE49-F238E27FC236}">
              <a16:creationId xmlns:a16="http://schemas.microsoft.com/office/drawing/2014/main" id="{CCF9358F-FF7B-FA6F-140A-4203F59AD49E}"/>
            </a:ext>
          </a:extLst>
        </xdr:cNvPr>
        <xdr:cNvGrpSpPr/>
      </xdr:nvGrpSpPr>
      <xdr:grpSpPr>
        <a:xfrm>
          <a:off x="7181850" y="6953250"/>
          <a:ext cx="3076576" cy="2819400"/>
          <a:chOff x="7181850" y="6953250"/>
          <a:chExt cx="3076576" cy="2819400"/>
        </a:xfrm>
      </xdr:grpSpPr>
      <xdr:sp macro="" textlink="">
        <xdr:nvSpPr>
          <xdr:cNvPr id="1038" name="Rectángulo: esquinas diagonales redondeadas 1037">
            <a:extLst>
              <a:ext uri="{FF2B5EF4-FFF2-40B4-BE49-F238E27FC236}">
                <a16:creationId xmlns:a16="http://schemas.microsoft.com/office/drawing/2014/main" id="{91462DA1-0DBD-B0F6-FF36-24DF5A5F67BB}"/>
              </a:ext>
            </a:extLst>
          </xdr:cNvPr>
          <xdr:cNvSpPr/>
        </xdr:nvSpPr>
        <xdr:spPr>
          <a:xfrm>
            <a:off x="7210425" y="7124699"/>
            <a:ext cx="2905125" cy="2495551"/>
          </a:xfrm>
          <a:prstGeom prst="round2DiagRect">
            <a:avLst/>
          </a:prstGeom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 kern="1200">
              <a:solidFill>
                <a:sysClr val="windowText" lastClr="000000"/>
              </a:solidFill>
            </a:endParaRPr>
          </a:p>
        </xdr:txBody>
      </xdr:sp>
      <xdr:graphicFrame macro="">
        <xdr:nvGraphicFramePr>
          <xdr:cNvPr id="18" name="Gráfico 17">
            <a:extLst>
              <a:ext uri="{FF2B5EF4-FFF2-40B4-BE49-F238E27FC236}">
                <a16:creationId xmlns:a16="http://schemas.microsoft.com/office/drawing/2014/main" id="{5EE97706-8904-4D7A-AD7A-1A0E839B6984}"/>
              </a:ext>
            </a:extLst>
          </xdr:cNvPr>
          <xdr:cNvGraphicFramePr>
            <a:graphicFrameLocks/>
          </xdr:cNvGraphicFramePr>
        </xdr:nvGraphicFramePr>
        <xdr:xfrm>
          <a:off x="7181850" y="7029450"/>
          <a:ext cx="3057525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pic>
        <xdr:nvPicPr>
          <xdr:cNvPr id="1050" name="Imagen 1049">
            <a:extLst>
              <a:ext uri="{FF2B5EF4-FFF2-40B4-BE49-F238E27FC236}">
                <a16:creationId xmlns:a16="http://schemas.microsoft.com/office/drawing/2014/main" id="{C64EB5A3-DECE-429A-60CF-DCCA37B7DD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39326" y="6953250"/>
            <a:ext cx="419100" cy="4191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200025</xdr:colOff>
      <xdr:row>36</xdr:row>
      <xdr:rowOff>66675</xdr:rowOff>
    </xdr:from>
    <xdr:to>
      <xdr:col>12</xdr:col>
      <xdr:colOff>523875</xdr:colOff>
      <xdr:row>38</xdr:row>
      <xdr:rowOff>9525</xdr:rowOff>
    </xdr:to>
    <xdr:pic macro="[0]!ExplicacionGraficoSemanal">
      <xdr:nvPicPr>
        <xdr:cNvPr id="45" name="Tooltip_7">
          <a:extLst>
            <a:ext uri="{FF2B5EF4-FFF2-40B4-BE49-F238E27FC236}">
              <a16:creationId xmlns:a16="http://schemas.microsoft.com/office/drawing/2014/main" id="{E636E6D5-1090-A193-C125-4E4AD465C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15225" y="6924675"/>
          <a:ext cx="323850" cy="32385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0</xdr:col>
      <xdr:colOff>523876</xdr:colOff>
      <xdr:row>53</xdr:row>
      <xdr:rowOff>76199</xdr:rowOff>
    </xdr:from>
    <xdr:to>
      <xdr:col>6</xdr:col>
      <xdr:colOff>257177</xdr:colOff>
      <xdr:row>65</xdr:row>
      <xdr:rowOff>0</xdr:rowOff>
    </xdr:to>
    <xdr:grpSp>
      <xdr:nvGrpSpPr>
        <xdr:cNvPr id="1074" name="variabilidad gastos">
          <a:extLst>
            <a:ext uri="{FF2B5EF4-FFF2-40B4-BE49-F238E27FC236}">
              <a16:creationId xmlns:a16="http://schemas.microsoft.com/office/drawing/2014/main" id="{DD73B4E4-CFD6-8D2F-3800-F4E53C6CF810}"/>
            </a:ext>
          </a:extLst>
        </xdr:cNvPr>
        <xdr:cNvGrpSpPr/>
      </xdr:nvGrpSpPr>
      <xdr:grpSpPr>
        <a:xfrm>
          <a:off x="523876" y="10172699"/>
          <a:ext cx="3390901" cy="2209801"/>
          <a:chOff x="523876" y="10172699"/>
          <a:chExt cx="3390901" cy="2209801"/>
        </a:xfrm>
      </xdr:grpSpPr>
      <xdr:sp macro="" textlink="">
        <xdr:nvSpPr>
          <xdr:cNvPr id="1051" name="Rectángulo: esquinas diagonales redondeadas 1050">
            <a:extLst>
              <a:ext uri="{FF2B5EF4-FFF2-40B4-BE49-F238E27FC236}">
                <a16:creationId xmlns:a16="http://schemas.microsoft.com/office/drawing/2014/main" id="{DB376444-F039-E874-A457-2F59AE0FA88F}"/>
              </a:ext>
            </a:extLst>
          </xdr:cNvPr>
          <xdr:cNvSpPr/>
        </xdr:nvSpPr>
        <xdr:spPr>
          <a:xfrm>
            <a:off x="533399" y="10353675"/>
            <a:ext cx="3267076" cy="2028825"/>
          </a:xfrm>
          <a:prstGeom prst="round2DiagRect">
            <a:avLst/>
          </a:prstGeom>
          <a:solidFill>
            <a:srgbClr val="FFC2A7"/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 kern="1200">
              <a:solidFill>
                <a:sysClr val="windowText" lastClr="000000"/>
              </a:solidFill>
            </a:endParaRPr>
          </a:p>
        </xdr:txBody>
      </xdr:sp>
      <xdr:graphicFrame macro="">
        <xdr:nvGraphicFramePr>
          <xdr:cNvPr id="58" name="Gráfico 57">
            <a:extLst>
              <a:ext uri="{FF2B5EF4-FFF2-40B4-BE49-F238E27FC236}">
                <a16:creationId xmlns:a16="http://schemas.microsoft.com/office/drawing/2014/main" id="{CCAACC89-D08A-4347-8844-623D6D98EED8}"/>
              </a:ext>
            </a:extLst>
          </xdr:cNvPr>
          <xdr:cNvGraphicFramePr>
            <a:graphicFrameLocks/>
          </xdr:cNvGraphicFramePr>
        </xdr:nvGraphicFramePr>
        <xdr:xfrm>
          <a:off x="523876" y="10506074"/>
          <a:ext cx="3276600" cy="180412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pic>
        <xdr:nvPicPr>
          <xdr:cNvPr id="1061" name="Imagen 1060">
            <a:extLst>
              <a:ext uri="{FF2B5EF4-FFF2-40B4-BE49-F238E27FC236}">
                <a16:creationId xmlns:a16="http://schemas.microsoft.com/office/drawing/2014/main" id="{CFEF78B2-E152-E50C-6040-450737E08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3514726" y="10172699"/>
            <a:ext cx="400051" cy="400051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228600</xdr:colOff>
      <xdr:row>53</xdr:row>
      <xdr:rowOff>66675</xdr:rowOff>
    </xdr:from>
    <xdr:to>
      <xdr:col>1</xdr:col>
      <xdr:colOff>552450</xdr:colOff>
      <xdr:row>55</xdr:row>
      <xdr:rowOff>9525</xdr:rowOff>
    </xdr:to>
    <xdr:pic macro="[0]!ExplicacionVariabilidadGastos">
      <xdr:nvPicPr>
        <xdr:cNvPr id="60" name="Tooltip_6">
          <a:extLst>
            <a:ext uri="{FF2B5EF4-FFF2-40B4-BE49-F238E27FC236}">
              <a16:creationId xmlns:a16="http://schemas.microsoft.com/office/drawing/2014/main" id="{52E84758-EACD-4675-8563-038EB42C8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8200" y="10163175"/>
          <a:ext cx="323850" cy="32385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6</xdr:col>
      <xdr:colOff>295277</xdr:colOff>
      <xdr:row>53</xdr:row>
      <xdr:rowOff>76200</xdr:rowOff>
    </xdr:from>
    <xdr:to>
      <xdr:col>10</xdr:col>
      <xdr:colOff>257176</xdr:colOff>
      <xdr:row>68</xdr:row>
      <xdr:rowOff>28576</xdr:rowOff>
    </xdr:to>
    <xdr:grpSp>
      <xdr:nvGrpSpPr>
        <xdr:cNvPr id="1073" name="velocimetro">
          <a:extLst>
            <a:ext uri="{FF2B5EF4-FFF2-40B4-BE49-F238E27FC236}">
              <a16:creationId xmlns:a16="http://schemas.microsoft.com/office/drawing/2014/main" id="{F4AED31F-09FD-CE42-54EB-331883936F37}"/>
            </a:ext>
          </a:extLst>
        </xdr:cNvPr>
        <xdr:cNvGrpSpPr/>
      </xdr:nvGrpSpPr>
      <xdr:grpSpPr>
        <a:xfrm>
          <a:off x="3952877" y="10172700"/>
          <a:ext cx="2400299" cy="2809876"/>
          <a:chOff x="3952877" y="10172700"/>
          <a:chExt cx="2400299" cy="2809876"/>
        </a:xfrm>
      </xdr:grpSpPr>
      <xdr:sp macro="" textlink="">
        <xdr:nvSpPr>
          <xdr:cNvPr id="1053" name="Rectángulo: esquinas diagonales redondeadas 1052">
            <a:extLst>
              <a:ext uri="{FF2B5EF4-FFF2-40B4-BE49-F238E27FC236}">
                <a16:creationId xmlns:a16="http://schemas.microsoft.com/office/drawing/2014/main" id="{9D52BEEC-9489-1860-D333-6AD0DE47903D}"/>
              </a:ext>
            </a:extLst>
          </xdr:cNvPr>
          <xdr:cNvSpPr/>
        </xdr:nvSpPr>
        <xdr:spPr>
          <a:xfrm>
            <a:off x="3952877" y="10353675"/>
            <a:ext cx="2257424" cy="2028826"/>
          </a:xfrm>
          <a:prstGeom prst="round2DiagRect">
            <a:avLst/>
          </a:prstGeom>
          <a:solidFill>
            <a:srgbClr val="FFC2A7"/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 kern="1200">
              <a:solidFill>
                <a:sysClr val="windowText" lastClr="000000"/>
              </a:solidFill>
            </a:endParaRPr>
          </a:p>
        </xdr:txBody>
      </xdr:sp>
      <xdr:graphicFrame macro="">
        <xdr:nvGraphicFramePr>
          <xdr:cNvPr id="61" name="Gráfico 60">
            <a:extLst>
              <a:ext uri="{FF2B5EF4-FFF2-40B4-BE49-F238E27FC236}">
                <a16:creationId xmlns:a16="http://schemas.microsoft.com/office/drawing/2014/main" id="{62DE23D9-F3EF-4DFB-AB61-D5B4205C34FB}"/>
              </a:ext>
            </a:extLst>
          </xdr:cNvPr>
          <xdr:cNvGraphicFramePr>
            <a:graphicFrameLocks/>
          </xdr:cNvGraphicFramePr>
        </xdr:nvGraphicFramePr>
        <xdr:xfrm>
          <a:off x="3981451" y="10601326"/>
          <a:ext cx="2162174" cy="2381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gasto_promedio_diario">
        <xdr:nvSpPr>
          <xdr:cNvPr id="63" name="CuadroTexto 62">
            <a:extLst>
              <a:ext uri="{FF2B5EF4-FFF2-40B4-BE49-F238E27FC236}">
                <a16:creationId xmlns:a16="http://schemas.microsoft.com/office/drawing/2014/main" id="{B44F93B1-33E5-4CBF-815C-19271F20BF12}"/>
              </a:ext>
            </a:extLst>
          </xdr:cNvPr>
          <xdr:cNvSpPr txBox="1"/>
        </xdr:nvSpPr>
        <xdr:spPr>
          <a:xfrm>
            <a:off x="4362450" y="11877675"/>
            <a:ext cx="1419225" cy="33337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80DD1AE6-12EC-4966-9223-CF2A337AA052}" type="TxLink">
              <a:rPr lang="en-US" sz="2000" b="1" i="1" u="none" strike="noStrike" kern="120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Calibri"/>
              </a:rPr>
              <a:pPr marL="0" indent="0" algn="ctr"/>
              <a:t>$ 0</a:t>
            </a:fld>
            <a:endParaRPr lang="es-AR" sz="2000" b="1" i="1" u="none" strike="noStrike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Calibri"/>
            </a:endParaRPr>
          </a:p>
        </xdr:txBody>
      </xdr:sp>
      <xdr:sp macro="" textlink="">
        <xdr:nvSpPr>
          <xdr:cNvPr id="1057" name="CuadroTexto 1056">
            <a:extLst>
              <a:ext uri="{FF2B5EF4-FFF2-40B4-BE49-F238E27FC236}">
                <a16:creationId xmlns:a16="http://schemas.microsoft.com/office/drawing/2014/main" id="{191E2048-033B-FAE7-F9F2-E74FA1904FA4}"/>
              </a:ext>
            </a:extLst>
          </xdr:cNvPr>
          <xdr:cNvSpPr txBox="1"/>
        </xdr:nvSpPr>
        <xdr:spPr>
          <a:xfrm>
            <a:off x="4222394" y="10334625"/>
            <a:ext cx="1780872" cy="5955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s-AR" sz="1600" b="1" i="1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rPr>
              <a:t>Gasto</a:t>
            </a:r>
          </a:p>
          <a:p>
            <a:pPr algn="ctr"/>
            <a:r>
              <a:rPr lang="es-AR" sz="1600" b="1" i="1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rPr>
              <a:t>promedio diario</a:t>
            </a:r>
          </a:p>
        </xdr:txBody>
      </xdr:sp>
      <xdr:pic>
        <xdr:nvPicPr>
          <xdr:cNvPr id="1059" name="Imagen 1058">
            <a:extLst>
              <a:ext uri="{FF2B5EF4-FFF2-40B4-BE49-F238E27FC236}">
                <a16:creationId xmlns:a16="http://schemas.microsoft.com/office/drawing/2014/main" id="{DDC26968-F778-9071-704A-640D393E89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962651" y="10172700"/>
            <a:ext cx="390525" cy="390525"/>
          </a:xfrm>
          <a:prstGeom prst="rect">
            <a:avLst/>
          </a:prstGeom>
        </xdr:spPr>
      </xdr:pic>
      <xdr:sp macro="" textlink="gasto_limite_diario">
        <xdr:nvSpPr>
          <xdr:cNvPr id="42" name="CuadroTexto 41">
            <a:extLst>
              <a:ext uri="{FF2B5EF4-FFF2-40B4-BE49-F238E27FC236}">
                <a16:creationId xmlns:a16="http://schemas.microsoft.com/office/drawing/2014/main" id="{BABBE576-D31C-99AC-4267-AE8BF8BAEEAC}"/>
              </a:ext>
            </a:extLst>
          </xdr:cNvPr>
          <xdr:cNvSpPr txBox="1"/>
        </xdr:nvSpPr>
        <xdr:spPr>
          <a:xfrm>
            <a:off x="5267326" y="10782300"/>
            <a:ext cx="895350" cy="33337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88E46201-03F2-4CDC-A9E8-95043C906B84}" type="TxLink">
              <a:rPr lang="en-US" sz="1100" b="1" i="1" u="none" strike="noStrike" kern="1200">
                <a:solidFill>
                  <a:schemeClr val="accent4">
                    <a:lumMod val="50000"/>
                  </a:schemeClr>
                </a:solidFill>
                <a:latin typeface="Century Gothic" panose="020B0502020202020204" pitchFamily="34" charset="0"/>
                <a:ea typeface="+mn-ea"/>
                <a:cs typeface="Calibri"/>
              </a:rPr>
              <a:pPr marL="0" indent="0" algn="l"/>
              <a:t>$ 0</a:t>
            </a:fld>
            <a:endParaRPr lang="es-AR" sz="1100" b="1" i="1" u="none" strike="noStrike" kern="1200">
              <a:solidFill>
                <a:schemeClr val="accent4">
                  <a:lumMod val="50000"/>
                </a:schemeClr>
              </a:solidFill>
              <a:latin typeface="Century Gothic" panose="020B050202020202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6</xdr:col>
      <xdr:colOff>581025</xdr:colOff>
      <xdr:row>53</xdr:row>
      <xdr:rowOff>76200</xdr:rowOff>
    </xdr:from>
    <xdr:to>
      <xdr:col>7</xdr:col>
      <xdr:colOff>295275</xdr:colOff>
      <xdr:row>55</xdr:row>
      <xdr:rowOff>19050</xdr:rowOff>
    </xdr:to>
    <xdr:pic macro="[0]!ExplicacionVelocimetro">
      <xdr:nvPicPr>
        <xdr:cNvPr id="1062" name="Tooltip_5">
          <a:extLst>
            <a:ext uri="{FF2B5EF4-FFF2-40B4-BE49-F238E27FC236}">
              <a16:creationId xmlns:a16="http://schemas.microsoft.com/office/drawing/2014/main" id="{220EA61A-946E-5A75-CD74-75C9C2C4D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0172700"/>
          <a:ext cx="323850" cy="32385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10</xdr:col>
      <xdr:colOff>257174</xdr:colOff>
      <xdr:row>53</xdr:row>
      <xdr:rowOff>114301</xdr:rowOff>
    </xdr:from>
    <xdr:to>
      <xdr:col>16</xdr:col>
      <xdr:colOff>561975</xdr:colOff>
      <xdr:row>65</xdr:row>
      <xdr:rowOff>1</xdr:rowOff>
    </xdr:to>
    <xdr:grpSp>
      <xdr:nvGrpSpPr>
        <xdr:cNvPr id="1071" name="gasto por dia">
          <a:extLst>
            <a:ext uri="{FF2B5EF4-FFF2-40B4-BE49-F238E27FC236}">
              <a16:creationId xmlns:a16="http://schemas.microsoft.com/office/drawing/2014/main" id="{F7FF8FD5-ED08-A5B5-BAEE-E43060FB3174}"/>
            </a:ext>
          </a:extLst>
        </xdr:cNvPr>
        <xdr:cNvGrpSpPr/>
      </xdr:nvGrpSpPr>
      <xdr:grpSpPr>
        <a:xfrm>
          <a:off x="6353174" y="10210801"/>
          <a:ext cx="3962401" cy="2171700"/>
          <a:chOff x="6353174" y="10210801"/>
          <a:chExt cx="3962401" cy="2171700"/>
        </a:xfrm>
      </xdr:grpSpPr>
      <xdr:sp macro="" textlink="">
        <xdr:nvSpPr>
          <xdr:cNvPr id="1052" name="Rectángulo: esquinas diagonales redondeadas 1051">
            <a:extLst>
              <a:ext uri="{FF2B5EF4-FFF2-40B4-BE49-F238E27FC236}">
                <a16:creationId xmlns:a16="http://schemas.microsoft.com/office/drawing/2014/main" id="{9545BD2D-2052-346E-4ADE-CE61A55D3295}"/>
              </a:ext>
            </a:extLst>
          </xdr:cNvPr>
          <xdr:cNvSpPr/>
        </xdr:nvSpPr>
        <xdr:spPr>
          <a:xfrm>
            <a:off x="6362701" y="10353675"/>
            <a:ext cx="3752850" cy="2028826"/>
          </a:xfrm>
          <a:prstGeom prst="round2DiagRect">
            <a:avLst/>
          </a:prstGeom>
          <a:solidFill>
            <a:srgbClr val="FFC2A7"/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 kern="1200">
              <a:solidFill>
                <a:sysClr val="windowText" lastClr="000000"/>
              </a:solidFill>
            </a:endParaRPr>
          </a:p>
        </xdr:txBody>
      </xdr:sp>
      <xdr:graphicFrame macro="">
        <xdr:nvGraphicFramePr>
          <xdr:cNvPr id="62" name="Gráfico 61">
            <a:extLst>
              <a:ext uri="{FF2B5EF4-FFF2-40B4-BE49-F238E27FC236}">
                <a16:creationId xmlns:a16="http://schemas.microsoft.com/office/drawing/2014/main" id="{29A75B11-60B2-4B14-866A-0163588F2EA6}"/>
              </a:ext>
            </a:extLst>
          </xdr:cNvPr>
          <xdr:cNvGraphicFramePr>
            <a:graphicFrameLocks/>
          </xdr:cNvGraphicFramePr>
        </xdr:nvGraphicFramePr>
        <xdr:xfrm>
          <a:off x="6353174" y="10448925"/>
          <a:ext cx="3686176" cy="18478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pic>
        <xdr:nvPicPr>
          <xdr:cNvPr id="1060" name="Imagen 1059">
            <a:extLst>
              <a:ext uri="{FF2B5EF4-FFF2-40B4-BE49-F238E27FC236}">
                <a16:creationId xmlns:a16="http://schemas.microsoft.com/office/drawing/2014/main" id="{5F76FF02-79B2-AD84-385F-8699DD54D0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9886951" y="10210801"/>
            <a:ext cx="428624" cy="42862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571500</xdr:colOff>
      <xdr:row>53</xdr:row>
      <xdr:rowOff>76200</xdr:rowOff>
    </xdr:from>
    <xdr:to>
      <xdr:col>11</xdr:col>
      <xdr:colOff>285750</xdr:colOff>
      <xdr:row>55</xdr:row>
      <xdr:rowOff>19050</xdr:rowOff>
    </xdr:to>
    <xdr:pic macro="[0]!ExplicacionGastoPorDia">
      <xdr:nvPicPr>
        <xdr:cNvPr id="1063" name="Tooltip_4">
          <a:extLst>
            <a:ext uri="{FF2B5EF4-FFF2-40B4-BE49-F238E27FC236}">
              <a16:creationId xmlns:a16="http://schemas.microsoft.com/office/drawing/2014/main" id="{C085E4C8-B779-D9E7-B7F1-D733459DE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500" y="10172700"/>
          <a:ext cx="323850" cy="32385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0</xdr:col>
      <xdr:colOff>533401</xdr:colOff>
      <xdr:row>13</xdr:row>
      <xdr:rowOff>161925</xdr:rowOff>
    </xdr:from>
    <xdr:to>
      <xdr:col>7</xdr:col>
      <xdr:colOff>0</xdr:colOff>
      <xdr:row>24</xdr:row>
      <xdr:rowOff>133350</xdr:rowOff>
    </xdr:to>
    <xdr:grpSp>
      <xdr:nvGrpSpPr>
        <xdr:cNvPr id="1070" name="billeteras">
          <a:extLst>
            <a:ext uri="{FF2B5EF4-FFF2-40B4-BE49-F238E27FC236}">
              <a16:creationId xmlns:a16="http://schemas.microsoft.com/office/drawing/2014/main" id="{1244A616-5FB9-6519-53FB-CB4B4408F75B}"/>
            </a:ext>
          </a:extLst>
        </xdr:cNvPr>
        <xdr:cNvGrpSpPr/>
      </xdr:nvGrpSpPr>
      <xdr:grpSpPr>
        <a:xfrm>
          <a:off x="533401" y="2638425"/>
          <a:ext cx="3733799" cy="2066925"/>
          <a:chOff x="533401" y="2638425"/>
          <a:chExt cx="3733799" cy="2066925"/>
        </a:xfrm>
      </xdr:grpSpPr>
      <xdr:sp macro="" textlink="">
        <xdr:nvSpPr>
          <xdr:cNvPr id="55" name="Rectángulo: esquinas diagonales redondeadas 54">
            <a:extLst>
              <a:ext uri="{FF2B5EF4-FFF2-40B4-BE49-F238E27FC236}">
                <a16:creationId xmlns:a16="http://schemas.microsoft.com/office/drawing/2014/main" id="{D42F6816-DB81-4FBB-B072-1627906D8E68}"/>
              </a:ext>
            </a:extLst>
          </xdr:cNvPr>
          <xdr:cNvSpPr/>
        </xdr:nvSpPr>
        <xdr:spPr>
          <a:xfrm>
            <a:off x="533401" y="2876550"/>
            <a:ext cx="3562349" cy="1828800"/>
          </a:xfrm>
          <a:prstGeom prst="round2DiagRect">
            <a:avLst/>
          </a:prstGeom>
          <a:solidFill>
            <a:srgbClr val="C17F49"/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 kern="1200">
              <a:solidFill>
                <a:sysClr val="windowText" lastClr="000000"/>
              </a:solidFill>
            </a:endParaRPr>
          </a:p>
        </xdr:txBody>
      </xdr:sp>
      <xdr:pic>
        <xdr:nvPicPr>
          <xdr:cNvPr id="46" name="Imagen 45">
            <a:extLst>
              <a:ext uri="{FF2B5EF4-FFF2-40B4-BE49-F238E27FC236}">
                <a16:creationId xmlns:a16="http://schemas.microsoft.com/office/drawing/2014/main" id="{8EB34C6E-1CFE-252F-E4D0-D202AAE724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3810000" y="2638425"/>
            <a:ext cx="457200" cy="4572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Scroll Bar 3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609600" y="3305175"/>
                <a:ext cx="238125" cy="12287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  <xdr:graphicFrame macro="">
        <xdr:nvGraphicFramePr>
          <xdr:cNvPr id="39" name="Gráfico 38">
            <a:extLst>
              <a:ext uri="{FF2B5EF4-FFF2-40B4-BE49-F238E27FC236}">
                <a16:creationId xmlns:a16="http://schemas.microsoft.com/office/drawing/2014/main" id="{3A649D28-CA07-47D4-B039-E0D532B5380C}"/>
              </a:ext>
            </a:extLst>
          </xdr:cNvPr>
          <xdr:cNvGraphicFramePr>
            <a:graphicFrameLocks/>
          </xdr:cNvGraphicFramePr>
        </xdr:nvGraphicFramePr>
        <xdr:xfrm>
          <a:off x="885825" y="2867025"/>
          <a:ext cx="3219450" cy="17240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</xdr:grpSp>
    <xdr:clientData/>
  </xdr:twoCellAnchor>
  <xdr:twoCellAnchor>
    <xdr:from>
      <xdr:col>1</xdr:col>
      <xdr:colOff>114300</xdr:colOff>
      <xdr:row>14</xdr:row>
      <xdr:rowOff>19050</xdr:rowOff>
    </xdr:from>
    <xdr:to>
      <xdr:col>1</xdr:col>
      <xdr:colOff>438150</xdr:colOff>
      <xdr:row>15</xdr:row>
      <xdr:rowOff>152400</xdr:rowOff>
    </xdr:to>
    <xdr:pic macro="[0]!ExplicacionBilleteras">
      <xdr:nvPicPr>
        <xdr:cNvPr id="53" name="Tooltip_3">
          <a:extLst>
            <a:ext uri="{FF2B5EF4-FFF2-40B4-BE49-F238E27FC236}">
              <a16:creationId xmlns:a16="http://schemas.microsoft.com/office/drawing/2014/main" id="{ED537CC6-9653-4878-AF94-7FC605E3E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3900" y="2686050"/>
          <a:ext cx="323850" cy="32385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10</xdr:col>
      <xdr:colOff>371473</xdr:colOff>
      <xdr:row>0</xdr:row>
      <xdr:rowOff>171451</xdr:rowOff>
    </xdr:from>
    <xdr:to>
      <xdr:col>16</xdr:col>
      <xdr:colOff>523876</xdr:colOff>
      <xdr:row>12</xdr:row>
      <xdr:rowOff>0</xdr:rowOff>
    </xdr:to>
    <xdr:grpSp>
      <xdr:nvGrpSpPr>
        <xdr:cNvPr id="1069" name="Reservas">
          <a:extLst>
            <a:ext uri="{FF2B5EF4-FFF2-40B4-BE49-F238E27FC236}">
              <a16:creationId xmlns:a16="http://schemas.microsoft.com/office/drawing/2014/main" id="{4A7BFA15-35E3-CED1-5748-F69359AD1093}"/>
            </a:ext>
          </a:extLst>
        </xdr:cNvPr>
        <xdr:cNvGrpSpPr/>
      </xdr:nvGrpSpPr>
      <xdr:grpSpPr>
        <a:xfrm>
          <a:off x="6467473" y="171451"/>
          <a:ext cx="3810003" cy="2114549"/>
          <a:chOff x="6467473" y="171451"/>
          <a:chExt cx="3810003" cy="2114549"/>
        </a:xfrm>
      </xdr:grpSpPr>
      <xdr:sp macro="" textlink="">
        <xdr:nvSpPr>
          <xdr:cNvPr id="26" name="Rectángulo: esquinas diagonales redondeadas 25">
            <a:extLst>
              <a:ext uri="{FF2B5EF4-FFF2-40B4-BE49-F238E27FC236}">
                <a16:creationId xmlns:a16="http://schemas.microsoft.com/office/drawing/2014/main" id="{AF65DD71-2E0F-4219-8F26-89BC414702D4}"/>
              </a:ext>
            </a:extLst>
          </xdr:cNvPr>
          <xdr:cNvSpPr/>
        </xdr:nvSpPr>
        <xdr:spPr>
          <a:xfrm>
            <a:off x="6467473" y="457200"/>
            <a:ext cx="3638551" cy="1828800"/>
          </a:xfrm>
          <a:prstGeom prst="round2DiagRect">
            <a:avLst/>
          </a:prstGeom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 kern="1200"/>
          </a:p>
        </xdr:txBody>
      </xdr:sp>
      <xdr:pic>
        <xdr:nvPicPr>
          <xdr:cNvPr id="27" name="Imagen 26">
            <a:extLst>
              <a:ext uri="{FF2B5EF4-FFF2-40B4-BE49-F238E27FC236}">
                <a16:creationId xmlns:a16="http://schemas.microsoft.com/office/drawing/2014/main" id="{6E459C0E-9B03-6BBD-9EC6-A9FAD903BB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/>
          <a:stretch>
            <a:fillRect/>
          </a:stretch>
        </xdr:blipFill>
        <xdr:spPr>
          <a:xfrm>
            <a:off x="9763126" y="171451"/>
            <a:ext cx="514350" cy="514350"/>
          </a:xfrm>
          <a:prstGeom prst="rect">
            <a:avLst/>
          </a:prstGeom>
          <a:ln>
            <a:noFill/>
          </a:ln>
        </xdr:spPr>
      </xdr:pic>
      <xdr:graphicFrame macro="">
        <xdr:nvGraphicFramePr>
          <xdr:cNvPr id="31" name="Gráfico 30">
            <a:extLst>
              <a:ext uri="{FF2B5EF4-FFF2-40B4-BE49-F238E27FC236}">
                <a16:creationId xmlns:a16="http://schemas.microsoft.com/office/drawing/2014/main" id="{BE0DD470-2437-4C79-851E-FBA19FEDA6A8}"/>
              </a:ext>
            </a:extLst>
          </xdr:cNvPr>
          <xdr:cNvGraphicFramePr>
            <a:graphicFrameLocks/>
          </xdr:cNvGraphicFramePr>
        </xdr:nvGraphicFramePr>
        <xdr:xfrm>
          <a:off x="6800850" y="476250"/>
          <a:ext cx="3114675" cy="16859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sp macro="" textlink="reservas">
        <xdr:nvSpPr>
          <xdr:cNvPr id="32" name="CuadroTexto 31">
            <a:extLst>
              <a:ext uri="{FF2B5EF4-FFF2-40B4-BE49-F238E27FC236}">
                <a16:creationId xmlns:a16="http://schemas.microsoft.com/office/drawing/2014/main" id="{EF1557C2-C8F4-3999-873C-D9DA4E33610D}"/>
              </a:ext>
            </a:extLst>
          </xdr:cNvPr>
          <xdr:cNvSpPr txBox="1"/>
        </xdr:nvSpPr>
        <xdr:spPr>
          <a:xfrm>
            <a:off x="8070423" y="476250"/>
            <a:ext cx="1721278" cy="406778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EADE54FD-6768-4616-B579-23DB410D378E}" type="TxLink">
              <a:rPr lang="en-US" sz="2000" b="1" i="1" u="none" strike="noStrike" kern="120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Calibri"/>
              </a:rPr>
              <a:pPr marL="0" indent="0" algn="l"/>
              <a:t>$ 1</a:t>
            </a:fld>
            <a:endParaRPr lang="es-AR" sz="2000" b="1" i="1" u="none" strike="noStrike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Calibri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Scroll Bar 1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6553200" y="1000125"/>
                <a:ext cx="238125" cy="10572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  <xdr:twoCellAnchor>
    <xdr:from>
      <xdr:col>11</xdr:col>
      <xdr:colOff>0</xdr:colOff>
      <xdr:row>1</xdr:row>
      <xdr:rowOff>76199</xdr:rowOff>
    </xdr:from>
    <xdr:to>
      <xdr:col>11</xdr:col>
      <xdr:colOff>323850</xdr:colOff>
      <xdr:row>3</xdr:row>
      <xdr:rowOff>19049</xdr:rowOff>
    </xdr:to>
    <xdr:pic macro="[0]!ExplicacionReservas">
      <xdr:nvPicPr>
        <xdr:cNvPr id="8" name="Tooltip_2">
          <a:extLst>
            <a:ext uri="{FF2B5EF4-FFF2-40B4-BE49-F238E27FC236}">
              <a16:creationId xmlns:a16="http://schemas.microsoft.com/office/drawing/2014/main" id="{4A361F0D-04BB-40E5-875C-FF88469DE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5600" y="266699"/>
          <a:ext cx="323850" cy="32385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14</xdr:col>
      <xdr:colOff>9526</xdr:colOff>
      <xdr:row>30</xdr:row>
      <xdr:rowOff>152400</xdr:rowOff>
    </xdr:from>
    <xdr:to>
      <xdr:col>16</xdr:col>
      <xdr:colOff>447676</xdr:colOff>
      <xdr:row>33</xdr:row>
      <xdr:rowOff>38099</xdr:rowOff>
    </xdr:to>
    <xdr:grpSp>
      <xdr:nvGrpSpPr>
        <xdr:cNvPr id="1031" name="boton tooltip">
          <a:extLst>
            <a:ext uri="{FF2B5EF4-FFF2-40B4-BE49-F238E27FC236}">
              <a16:creationId xmlns:a16="http://schemas.microsoft.com/office/drawing/2014/main" id="{89F86FE5-E60E-A951-33E1-CC2F18688EF8}"/>
            </a:ext>
          </a:extLst>
        </xdr:cNvPr>
        <xdr:cNvGrpSpPr/>
      </xdr:nvGrpSpPr>
      <xdr:grpSpPr>
        <a:xfrm>
          <a:off x="8543926" y="5867400"/>
          <a:ext cx="1657350" cy="457199"/>
          <a:chOff x="8543926" y="5867400"/>
          <a:chExt cx="1657350" cy="457199"/>
        </a:xfrm>
      </xdr:grpSpPr>
      <xdr:pic>
        <xdr:nvPicPr>
          <xdr:cNvPr id="38" name="Imagen 37">
            <a:extLst>
              <a:ext uri="{FF2B5EF4-FFF2-40B4-BE49-F238E27FC236}">
                <a16:creationId xmlns:a16="http://schemas.microsoft.com/office/drawing/2014/main" id="{66D42592-D578-8A96-A4EB-1516380CDF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543926" y="5867400"/>
            <a:ext cx="1099360" cy="457199"/>
          </a:xfrm>
          <a:prstGeom prst="rect">
            <a:avLst/>
          </a:prstGeom>
        </xdr:spPr>
      </xdr:pic>
      <xdr:sp macro="[0]!AlternarTooltips" textlink="">
        <xdr:nvSpPr>
          <xdr:cNvPr id="40" name="CuadroTexto 39">
            <a:extLst>
              <a:ext uri="{FF2B5EF4-FFF2-40B4-BE49-F238E27FC236}">
                <a16:creationId xmlns:a16="http://schemas.microsoft.com/office/drawing/2014/main" id="{F30FF402-88A5-0AA6-AB84-54FC24B4AACC}"/>
              </a:ext>
            </a:extLst>
          </xdr:cNvPr>
          <xdr:cNvSpPr txBox="1"/>
        </xdr:nvSpPr>
        <xdr:spPr>
          <a:xfrm>
            <a:off x="8696325" y="5924550"/>
            <a:ext cx="1034001" cy="34394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r>
              <a:rPr lang="es-AR" sz="1200" b="1" i="0" u="none" strike="noStrike" kern="120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Calibri"/>
              </a:rPr>
              <a:t>Tooltips?</a:t>
            </a:r>
          </a:p>
        </xdr:txBody>
      </xdr:sp>
      <xdr:pic>
        <xdr:nvPicPr>
          <xdr:cNvPr id="1087" name="boton verde ON">
            <a:extLst>
              <a:ext uri="{FF2B5EF4-FFF2-40B4-BE49-F238E27FC236}">
                <a16:creationId xmlns:a16="http://schemas.microsoft.com/office/drawing/2014/main" id="{C9028E52-6818-8BF3-F659-B19912A1C4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648825" y="5972174"/>
            <a:ext cx="247651" cy="247651"/>
          </a:xfrm>
          <a:prstGeom prst="rect">
            <a:avLst/>
          </a:prstGeom>
          <a:effectLst>
            <a:glow rad="228600">
              <a:schemeClr val="accent6">
                <a:satMod val="175000"/>
                <a:alpha val="40000"/>
              </a:schemeClr>
            </a:glow>
          </a:effectLst>
        </xdr:spPr>
      </xdr:pic>
      <xdr:pic>
        <xdr:nvPicPr>
          <xdr:cNvPr id="25" name="boton rojo ON" hidden="1">
            <a:extLst>
              <a:ext uri="{FF2B5EF4-FFF2-40B4-BE49-F238E27FC236}">
                <a16:creationId xmlns:a16="http://schemas.microsoft.com/office/drawing/2014/main" id="{CAF0A9D2-3A9B-37C8-D359-4FCED36568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3625" y="5972174"/>
            <a:ext cx="247651" cy="247651"/>
          </a:xfrm>
          <a:prstGeom prst="rect">
            <a:avLst/>
          </a:prstGeom>
          <a:effectLst>
            <a:glow rad="228600">
              <a:srgbClr val="FF6565">
                <a:alpha val="40000"/>
              </a:srgbClr>
            </a:glow>
          </a:effectLst>
        </xdr:spPr>
      </xdr:pic>
      <xdr:pic>
        <xdr:nvPicPr>
          <xdr:cNvPr id="1085" name="boton rojo OFF">
            <a:extLst>
              <a:ext uri="{FF2B5EF4-FFF2-40B4-BE49-F238E27FC236}">
                <a16:creationId xmlns:a16="http://schemas.microsoft.com/office/drawing/2014/main" id="{43AF0284-6B87-BC28-D59B-86F129EAF1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saturation sat="33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3625" y="5972174"/>
            <a:ext cx="247651" cy="247651"/>
          </a:xfrm>
          <a:prstGeom prst="rect">
            <a:avLst/>
          </a:prstGeom>
        </xdr:spPr>
      </xdr:pic>
      <xdr:pic>
        <xdr:nvPicPr>
          <xdr:cNvPr id="20" name="boton verde OFF" hidden="1">
            <a:extLst>
              <a:ext uri="{FF2B5EF4-FFF2-40B4-BE49-F238E27FC236}">
                <a16:creationId xmlns:a16="http://schemas.microsoft.com/office/drawing/2014/main" id="{B456C32F-F30C-8950-291E-A40FA9EFFD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saturation sat="33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648825" y="5972174"/>
            <a:ext cx="247651" cy="247651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0</xdr:col>
      <xdr:colOff>533400</xdr:colOff>
      <xdr:row>69</xdr:row>
      <xdr:rowOff>9525</xdr:rowOff>
    </xdr:from>
    <xdr:to>
      <xdr:col>6</xdr:col>
      <xdr:colOff>142876</xdr:colOff>
      <xdr:row>79</xdr:row>
      <xdr:rowOff>133350</xdr:rowOff>
    </xdr:to>
    <xdr:sp macro="" textlink="">
      <xdr:nvSpPr>
        <xdr:cNvPr id="28" name="Rectángulo: esquinas diagonales redondeadas 27">
          <a:extLst>
            <a:ext uri="{FF2B5EF4-FFF2-40B4-BE49-F238E27FC236}">
              <a16:creationId xmlns:a16="http://schemas.microsoft.com/office/drawing/2014/main" id="{2774BF0A-E399-423E-A59E-6656322B31AB}"/>
            </a:ext>
          </a:extLst>
        </xdr:cNvPr>
        <xdr:cNvSpPr/>
      </xdr:nvSpPr>
      <xdr:spPr>
        <a:xfrm>
          <a:off x="533400" y="13154025"/>
          <a:ext cx="3267076" cy="2028825"/>
        </a:xfrm>
        <a:prstGeom prst="round2DiagRect">
          <a:avLst/>
        </a:prstGeom>
        <a:solidFill>
          <a:srgbClr val="D6BBEB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485776</xdr:colOff>
      <xdr:row>69</xdr:row>
      <xdr:rowOff>76200</xdr:rowOff>
    </xdr:from>
    <xdr:to>
      <xdr:col>6</xdr:col>
      <xdr:colOff>171450</xdr:colOff>
      <xdr:row>79</xdr:row>
      <xdr:rowOff>52387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7BC03683-26BA-44BD-A605-2F370A04A0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533400</xdr:colOff>
      <xdr:row>79</xdr:row>
      <xdr:rowOff>133351</xdr:rowOff>
    </xdr:from>
    <xdr:to>
      <xdr:col>6</xdr:col>
      <xdr:colOff>142875</xdr:colOff>
      <xdr:row>83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Descripcion">
              <a:extLst>
                <a:ext uri="{FF2B5EF4-FFF2-40B4-BE49-F238E27FC236}">
                  <a16:creationId xmlns:a16="http://schemas.microsoft.com/office/drawing/2014/main" id="{A9022ABA-6D7A-451D-9539-D7FF918B4E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3400" y="15182851"/>
              <a:ext cx="3267075" cy="7048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5</xdr:col>
      <xdr:colOff>390525</xdr:colOff>
      <xdr:row>67</xdr:row>
      <xdr:rowOff>171451</xdr:rowOff>
    </xdr:from>
    <xdr:to>
      <xdr:col>6</xdr:col>
      <xdr:colOff>323849</xdr:colOff>
      <xdr:row>70</xdr:row>
      <xdr:rowOff>142875</xdr:rowOff>
    </xdr:to>
    <xdr:pic>
      <xdr:nvPicPr>
        <xdr:cNvPr id="1027" name="Imagen 1026">
          <a:extLst>
            <a:ext uri="{FF2B5EF4-FFF2-40B4-BE49-F238E27FC236}">
              <a16:creationId xmlns:a16="http://schemas.microsoft.com/office/drawing/2014/main" id="{E522A9C7-81AC-7D3F-8079-37DC171451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38525" y="12934951"/>
          <a:ext cx="542924" cy="542924"/>
        </a:xfrm>
        <a:prstGeom prst="rect">
          <a:avLst/>
        </a:prstGeom>
      </xdr:spPr>
    </xdr:pic>
    <xdr:clientData/>
  </xdr:twoCellAnchor>
  <xdr:twoCellAnchor>
    <xdr:from>
      <xdr:col>1</xdr:col>
      <xdr:colOff>171450</xdr:colOff>
      <xdr:row>68</xdr:row>
      <xdr:rowOff>19050</xdr:rowOff>
    </xdr:from>
    <xdr:to>
      <xdr:col>1</xdr:col>
      <xdr:colOff>495300</xdr:colOff>
      <xdr:row>69</xdr:row>
      <xdr:rowOff>152400</xdr:rowOff>
    </xdr:to>
    <xdr:pic macro="[0]!Explicacion_Gastos_Fijos">
      <xdr:nvPicPr>
        <xdr:cNvPr id="1033" name="Tooltip_12">
          <a:extLst>
            <a:ext uri="{FF2B5EF4-FFF2-40B4-BE49-F238E27FC236}">
              <a16:creationId xmlns:a16="http://schemas.microsoft.com/office/drawing/2014/main" id="{35A06D2C-B8F6-413D-9843-00B39243E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1050" y="12973050"/>
          <a:ext cx="323850" cy="323850"/>
        </a:xfrm>
        <a:prstGeom prst="rect">
          <a:avLst/>
        </a:prstGeom>
      </xdr:spPr>
    </xdr:pic>
    <xdr:clientData/>
  </xdr:twoCellAnchor>
  <xdr:twoCellAnchor>
    <xdr:from>
      <xdr:col>10</xdr:col>
      <xdr:colOff>266700</xdr:colOff>
      <xdr:row>68</xdr:row>
      <xdr:rowOff>57150</xdr:rowOff>
    </xdr:from>
    <xdr:to>
      <xdr:col>16</xdr:col>
      <xdr:colOff>590550</xdr:colOff>
      <xdr:row>79</xdr:row>
      <xdr:rowOff>133350</xdr:rowOff>
    </xdr:to>
    <xdr:grpSp>
      <xdr:nvGrpSpPr>
        <xdr:cNvPr id="1044" name="gastos fijos categorias">
          <a:extLst>
            <a:ext uri="{FF2B5EF4-FFF2-40B4-BE49-F238E27FC236}">
              <a16:creationId xmlns:a16="http://schemas.microsoft.com/office/drawing/2014/main" id="{3C13FD9E-A2AF-999D-75C7-E5C38E51B00C}"/>
            </a:ext>
          </a:extLst>
        </xdr:cNvPr>
        <xdr:cNvGrpSpPr/>
      </xdr:nvGrpSpPr>
      <xdr:grpSpPr>
        <a:xfrm>
          <a:off x="6362700" y="13011150"/>
          <a:ext cx="3981450" cy="2171700"/>
          <a:chOff x="6362700" y="13011150"/>
          <a:chExt cx="3981450" cy="2171700"/>
        </a:xfrm>
      </xdr:grpSpPr>
      <xdr:sp macro="" textlink="">
        <xdr:nvSpPr>
          <xdr:cNvPr id="56" name="Rectángulo: esquinas diagonales redondeadas 55">
            <a:extLst>
              <a:ext uri="{FF2B5EF4-FFF2-40B4-BE49-F238E27FC236}">
                <a16:creationId xmlns:a16="http://schemas.microsoft.com/office/drawing/2014/main" id="{62857463-ABAB-4993-8DB2-357118744ED4}"/>
              </a:ext>
            </a:extLst>
          </xdr:cNvPr>
          <xdr:cNvSpPr/>
        </xdr:nvSpPr>
        <xdr:spPr>
          <a:xfrm>
            <a:off x="6362700" y="13154025"/>
            <a:ext cx="3752851" cy="2028825"/>
          </a:xfrm>
          <a:prstGeom prst="round2DiagRect">
            <a:avLst/>
          </a:prstGeom>
          <a:solidFill>
            <a:srgbClr val="D6BBEB"/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 kern="1200">
              <a:solidFill>
                <a:sysClr val="windowText" lastClr="000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" name="Scroll Bar 4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100-000016000000}"/>
                  </a:ext>
                </a:extLst>
              </xdr:cNvPr>
              <xdr:cNvSpPr/>
            </xdr:nvSpPr>
            <xdr:spPr bwMode="auto">
              <a:xfrm>
                <a:off x="6448425" y="13754100"/>
                <a:ext cx="238125" cy="1247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  <xdr:sp macro="" textlink="gastos_fijos">
        <xdr:nvSpPr>
          <xdr:cNvPr id="1034" name="CuadroTexto 1033">
            <a:extLst>
              <a:ext uri="{FF2B5EF4-FFF2-40B4-BE49-F238E27FC236}">
                <a16:creationId xmlns:a16="http://schemas.microsoft.com/office/drawing/2014/main" id="{8962BA0A-D84C-7F0E-F4D9-D613A20309BE}"/>
              </a:ext>
            </a:extLst>
          </xdr:cNvPr>
          <xdr:cNvSpPr txBox="1"/>
        </xdr:nvSpPr>
        <xdr:spPr>
          <a:xfrm>
            <a:off x="8391524" y="13277850"/>
            <a:ext cx="1447801" cy="34394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9CC48C41-D89F-4594-AA3D-DC47D15463B7}" type="TxLink">
              <a:rPr lang="en-US" sz="1600" b="1" i="1" u="none" strike="noStrike" kern="120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Calibri"/>
              </a:rPr>
              <a:pPr marL="0" indent="0" algn="l"/>
              <a:t>$ 0</a:t>
            </a:fld>
            <a:endParaRPr lang="es-AR" sz="1600" b="1" i="1" u="none" strike="noStrike" kern="120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Calibri"/>
            </a:endParaRPr>
          </a:p>
        </xdr:txBody>
      </xdr:sp>
      <xdr:pic>
        <xdr:nvPicPr>
          <xdr:cNvPr id="1035" name="Imagen 1034">
            <a:extLst>
              <a:ext uri="{FF2B5EF4-FFF2-40B4-BE49-F238E27FC236}">
                <a16:creationId xmlns:a16="http://schemas.microsoft.com/office/drawing/2014/main" id="{71D452C4-D3B2-B891-F105-667E87C8D0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/>
          <a:stretch>
            <a:fillRect/>
          </a:stretch>
        </xdr:blipFill>
        <xdr:spPr>
          <a:xfrm>
            <a:off x="9906000" y="13011150"/>
            <a:ext cx="438150" cy="438150"/>
          </a:xfrm>
          <a:prstGeom prst="rect">
            <a:avLst/>
          </a:prstGeom>
        </xdr:spPr>
      </xdr:pic>
      <xdr:graphicFrame macro="">
        <xdr:nvGraphicFramePr>
          <xdr:cNvPr id="1040" name="Gráfico 1039">
            <a:extLst>
              <a:ext uri="{FF2B5EF4-FFF2-40B4-BE49-F238E27FC236}">
                <a16:creationId xmlns:a16="http://schemas.microsoft.com/office/drawing/2014/main" id="{45941B43-2BA3-4E4D-BEB9-45CE1A552589}"/>
              </a:ext>
            </a:extLst>
          </xdr:cNvPr>
          <xdr:cNvGraphicFramePr>
            <a:graphicFrameLocks/>
          </xdr:cNvGraphicFramePr>
        </xdr:nvGraphicFramePr>
        <xdr:xfrm>
          <a:off x="6734176" y="13163550"/>
          <a:ext cx="3390900" cy="20097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4"/>
          </a:graphicData>
        </a:graphic>
      </xdr:graphicFrame>
    </xdr:grpSp>
    <xdr:clientData/>
  </xdr:twoCellAnchor>
  <xdr:twoCellAnchor>
    <xdr:from>
      <xdr:col>10</xdr:col>
      <xdr:colOff>552450</xdr:colOff>
      <xdr:row>68</xdr:row>
      <xdr:rowOff>19050</xdr:rowOff>
    </xdr:from>
    <xdr:to>
      <xdr:col>11</xdr:col>
      <xdr:colOff>266700</xdr:colOff>
      <xdr:row>69</xdr:row>
      <xdr:rowOff>152400</xdr:rowOff>
    </xdr:to>
    <xdr:pic macro="[0]!Explicacion_Gastos_fijos_2">
      <xdr:nvPicPr>
        <xdr:cNvPr id="1043" name="Tooltip_12">
          <a:extLst>
            <a:ext uri="{FF2B5EF4-FFF2-40B4-BE49-F238E27FC236}">
              <a16:creationId xmlns:a16="http://schemas.microsoft.com/office/drawing/2014/main" id="{DD056F74-F791-28E1-D7E3-2AB3519CC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48450" y="12973050"/>
          <a:ext cx="323850" cy="32385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stolo Da Silva" refreshedDate="45703.751106944444" missingItemsLimit="0" createdVersion="8" refreshedVersion="8" minRefreshableVersion="3" recordCount="3" xr:uid="{9D08F9BF-22F2-4EA9-9ADA-2C11786D8F3F}">
  <cacheSource type="worksheet">
    <worksheetSource name="Registros"/>
  </cacheSource>
  <cacheFields count="7">
    <cacheField name="Fecha" numFmtId="14">
      <sharedItems containsSemiMixedTypes="0" containsNonDate="0" containsDate="1" containsString="0" minDate="2025-01-01T00:00:00" maxDate="2025-01-02T00:00:00" count="1">
        <d v="2025-01-01T00:00:00"/>
      </sharedItems>
      <fieldGroup par="6"/>
    </cacheField>
    <cacheField name="Descripcion" numFmtId="0">
      <sharedItems count="3">
        <s v="Inicio del mes"/>
        <s v="Reserva de ejemplo"/>
        <s v="Gasto de ejemplo"/>
      </sharedItems>
    </cacheField>
    <cacheField name="Movimiento en $" numFmtId="6">
      <sharedItems containsSemiMixedTypes="0" containsString="0" containsNumber="1" containsInteger="1" minValue="-1" maxValue="3"/>
    </cacheField>
    <cacheField name="Billetera" numFmtId="0">
      <sharedItems containsBlank="1" count="2">
        <s v="Efectivo"/>
        <m/>
      </sharedItems>
    </cacheField>
    <cacheField name="Sector" numFmtId="0">
      <sharedItems count="3">
        <s v="Ingresos"/>
        <s v="Reserva"/>
        <s v="Categoria de ejemplo"/>
      </sharedItems>
    </cacheField>
    <cacheField name="Días (Fecha)" numFmtId="0" databaseField="0">
      <fieldGroup base="0">
        <rangePr groupBy="days" startDate="2025-01-01T00:00:00" endDate="2025-01-02T00:00:00"/>
        <groupItems count="368">
          <s v="&lt;1/1/2025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/1/2025"/>
        </groupItems>
      </fieldGroup>
    </cacheField>
    <cacheField name="Meses (Fecha)" numFmtId="0" databaseField="0">
      <fieldGroup base="0">
        <rangePr groupBy="months" startDate="2025-01-01T00:00:00" endDate="2025-01-02T00:00:00"/>
        <groupItems count="14">
          <s v="&lt;1/1/202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/1/2025"/>
        </groupItems>
      </fieldGroup>
    </cacheField>
  </cacheFields>
  <extLst>
    <ext xmlns:x14="http://schemas.microsoft.com/office/spreadsheetml/2009/9/main" uri="{725AE2AE-9491-48be-B2B4-4EB974FC3084}">
      <x14:pivotCacheDefinition pivotCacheId="10970718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n v="3"/>
    <x v="0"/>
    <x v="0"/>
  </r>
  <r>
    <x v="0"/>
    <x v="1"/>
    <n v="1"/>
    <x v="1"/>
    <x v="1"/>
  </r>
  <r>
    <x v="0"/>
    <x v="2"/>
    <n v="-1"/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FCE3C8-9F37-46E0-A26C-49D3CACF25FB}" name="gastos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39" rowHeaderCaption="Sector">
  <location ref="AU7:AV9" firstHeaderRow="1" firstDataRow="1" firstDataCol="1" rowPageCount="1" colPageCount="1"/>
  <pivotFields count="7">
    <pivotField numFmtId="14" showAll="0">
      <items count="2">
        <item x="0"/>
        <item t="default"/>
      </items>
    </pivotField>
    <pivotField axis="axisPage" showAll="0">
      <items count="4">
        <item x="0"/>
        <item x="1"/>
        <item x="2"/>
        <item t="default"/>
      </items>
    </pivotField>
    <pivotField dataField="1" numFmtId="6" showAll="0"/>
    <pivotField showAll="0"/>
    <pivotField axis="axisRow" showAll="0" includeNewItemsInFilter="1" sortType="ascending">
      <items count="4">
        <item h="1" x="0"/>
        <item h="1"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2">
    <i>
      <x v="2"/>
    </i>
    <i t="grand">
      <x/>
    </i>
  </rowItems>
  <colItems count="1">
    <i/>
  </colItems>
  <pageFields count="1">
    <pageField fld="1" hier="-1"/>
  </pageFields>
  <dataFields count="1">
    <dataField name="Dinero" fld="2" baseField="0" baseItem="0" numFmtId="5"/>
  </dataFields>
  <formats count="2">
    <format dxfId="28">
      <pivotArea outline="0" collapsedLevelsAreSubtotals="1" fieldPosition="0"/>
    </format>
    <format dxfId="27">
      <pivotArea outline="0" collapsedLevelsAreSubtotals="1" fieldPosition="0"/>
    </format>
  </formats>
  <chartFormats count="5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2288" name="Fecha">
      <autoFilter ref="A1">
        <filterColumn colId="0">
          <customFilters and="1">
            <customFilter operator="greaterThanOrEqual" val="45658"/>
            <customFilter operator="lessThanOrEqual" val="456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8E7C33-61BF-414B-93DA-39C40ED76033}" name="gastos_mensuales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Fecha">
  <location ref="BF7:BG9" firstHeaderRow="1" firstDataRow="1" firstDataCol="1" rowPageCount="1" colPageCount="1"/>
  <pivotFields count="7">
    <pivotField numFmtId="14" showAll="0">
      <items count="2">
        <item x="0"/>
        <item t="default"/>
      </items>
    </pivotField>
    <pivotField showAll="0"/>
    <pivotField dataField="1" numFmtId="6" showAll="0"/>
    <pivotField showAll="0"/>
    <pivotField axis="axisPage" multipleItemSelectionAllowed="1" showAll="0">
      <items count="4">
        <item h="1" x="0"/>
        <item h="1" x="1"/>
        <item x="2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2">
    <i>
      <x v="1"/>
    </i>
    <i t="grand">
      <x/>
    </i>
  </rowItems>
  <colItems count="1">
    <i/>
  </colItems>
  <pageFields count="1">
    <pageField fld="4" hier="-1"/>
  </pageFields>
  <dataFields count="1">
    <dataField name="Gasto mensual" fld="2" baseField="0" baseItem="0" numFmtId="5"/>
  </dataFields>
  <formats count="1">
    <format dxfId="29">
      <pivotArea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C6660E-97B3-487A-B8D0-05C374D78154}" name="gastos_fijos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Gastos Fijos">
  <location ref="CA8:CB9" firstHeaderRow="1" firstDataRow="1" firstDataCol="1" rowPageCount="2" colPageCount="1"/>
  <pivotFields count="7">
    <pivotField numFmtId="14" showAll="0">
      <items count="2">
        <item x="0"/>
        <item t="default"/>
      </items>
    </pivotField>
    <pivotField axis="axisRow" showAll="0" sortType="a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6" showAll="0"/>
    <pivotField axis="axisPage" multipleItemSelectionAllowed="1" showAll="0" sortType="ascending">
      <items count="3">
        <item h="1"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4">
        <item h="1" x="0"/>
        <item x="1"/>
        <item h="1" x="2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1">
    <i t="grand">
      <x/>
    </i>
  </rowItems>
  <colItems count="1">
    <i/>
  </colItems>
  <pageFields count="2">
    <pageField fld="3" hier="-1"/>
    <pageField fld="4" hier="-1"/>
  </pageFields>
  <dataFields count="1">
    <dataField name="Dinero" fld="2" baseField="0" baseItem="0" numFmtId="5"/>
  </dataFields>
  <formats count="1">
    <format dxfId="30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609" name="Fecha">
      <autoFilter ref="A1">
        <filterColumn colId="0">
          <customFilters and="1">
            <customFilter operator="greaterThanOrEqual" val="45658"/>
            <customFilter operator="lessThanOrEqual" val="456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97D7C6-D131-4D0D-9333-1B6C73EBDF7C}" name="reservas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 rowHeaderCaption="Reservas">
  <location ref="AD7:AE9" firstHeaderRow="1" firstDataRow="1" firstDataCol="1" rowPageCount="1" colPageCount="1"/>
  <pivotFields count="7">
    <pivotField numFmtId="14" showAll="0">
      <items count="2">
        <item x="0"/>
        <item t="default"/>
      </items>
    </pivotField>
    <pivotField axis="axisRow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6" showAll="0"/>
    <pivotField showAll="0"/>
    <pivotField axis="axisPage" multipleItemSelectionAllowed="1" showAll="0">
      <items count="4">
        <item h="1" x="0"/>
        <item x="1"/>
        <item h="1" x="2"/>
        <item t="default"/>
      </items>
    </pivotField>
    <pivotField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2">
    <i>
      <x v="1"/>
    </i>
    <i t="grand">
      <x/>
    </i>
  </rowItems>
  <colItems count="1">
    <i/>
  </colItems>
  <pageFields count="1">
    <pageField fld="4" hier="-1"/>
  </pageFields>
  <dataFields count="1">
    <dataField name="Dinero" fld="2" baseField="0" baseItem="0" numFmtId="5"/>
  </dataFields>
  <formats count="1">
    <format dxfId="3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35756D-567F-40BC-8E2F-8DFF20336319}" name="ingresos_mensuales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 rowHeaderCaption="Mes">
  <location ref="AJ7:AK9" firstHeaderRow="1" firstDataRow="1" firstDataCol="1" rowPageCount="1" colPageCount="1"/>
  <pivotFields count="7">
    <pivotField numFmtId="14" showAll="0">
      <items count="2">
        <item x="0"/>
        <item t="default"/>
      </items>
    </pivotField>
    <pivotField showAll="0"/>
    <pivotField dataField="1" numFmtId="6" showAll="0"/>
    <pivotField showAll="0"/>
    <pivotField axis="axisPage" multipleItemSelectionAllowed="1" showAll="0" includeNewItemsInFilter="1">
      <items count="4">
        <item x="0"/>
        <item h="1" x="1"/>
        <item h="1" x="2"/>
        <item t="default"/>
      </items>
    </pivotField>
    <pivotField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"/>
  </rowFields>
  <rowItems count="2">
    <i>
      <x v="1"/>
    </i>
    <i t="grand">
      <x/>
    </i>
  </rowItems>
  <colItems count="1">
    <i/>
  </colItems>
  <pageFields count="1">
    <pageField fld="4" hier="-1"/>
  </pageFields>
  <dataFields count="1">
    <dataField name="Ingreso Mensual" fld="2" baseField="0" baseItem="0" numFmtId="6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DD0330-F37C-4908-824A-F40CF496562E}" name="ingresos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9" rowHeaderCaption="Ingresos">
  <location ref="AG5:AH7" firstHeaderRow="1" firstDataRow="1" firstDataCol="1"/>
  <pivotFields count="7">
    <pivotField numFmtId="14" showAll="0">
      <items count="2">
        <item x="0"/>
        <item t="default"/>
      </items>
    </pivotField>
    <pivotField showAll="0"/>
    <pivotField dataField="1" numFmtId="6" showAll="0"/>
    <pivotField showAll="0"/>
    <pivotField axis="axisRow" showAll="0">
      <items count="4">
        <item x="0"/>
        <item h="1" x="1"/>
        <item h="1" x="2"/>
        <item t="default"/>
      </items>
    </pivotField>
    <pivotField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2">
    <i>
      <x/>
    </i>
    <i t="grand">
      <x/>
    </i>
  </rowItems>
  <colItems count="1">
    <i/>
  </colItems>
  <dataFields count="1">
    <dataField name="Dinero" fld="2" baseField="0" baseItem="0" numFmtId="6"/>
  </dataFields>
  <chartFormats count="5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597" name="Fecha">
      <autoFilter ref="A1">
        <filterColumn colId="0">
          <customFilters and="1">
            <customFilter operator="greaterThanOrEqual" val="45658"/>
            <customFilter operator="lessThanOrEqual" val="456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349305-49B6-493E-A7FA-043C501B8D7D}" name="gastos_diarios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1" rowHeaderCaption="Fecha">
  <location ref="BC7:BD9" firstHeaderRow="1" firstDataRow="1" firstDataCol="1" rowPageCount="1" colPageCount="1"/>
  <pivotFields count="7">
    <pivotField numFmtId="14" showAll="0">
      <items count="2">
        <item x="0"/>
        <item t="default"/>
      </items>
    </pivotField>
    <pivotField showAll="0"/>
    <pivotField dataField="1" numFmtId="6" showAll="0"/>
    <pivotField showAll="0"/>
    <pivotField axis="axisPage" multipleItemSelectionAllowed="1" showAll="0">
      <items count="4">
        <item h="1" x="0"/>
        <item h="1" x="1"/>
        <item x="2"/>
        <item t="default"/>
      </items>
    </pivotField>
    <pivotField axis="axisRow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"/>
  </rowFields>
  <rowItems count="2">
    <i>
      <x/>
    </i>
    <i t="grand">
      <x/>
    </i>
  </rowItems>
  <colItems count="1">
    <i/>
  </colItems>
  <pageFields count="1">
    <pageField fld="4" hier="-1"/>
  </pageFields>
  <dataFields count="1">
    <dataField name="Gasto diario" fld="2" baseField="0" baseItem="0" numFmtId="5"/>
  </dataFields>
  <formats count="1">
    <format dxfId="32">
      <pivotArea outline="0" collapsedLevelsAreSubtotals="1" fieldPosition="0"/>
    </format>
  </formats>
  <chartFormats count="1"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356" name="Fecha">
      <autoFilter ref="A1">
        <filterColumn colId="0">
          <customFilters and="1">
            <customFilter operator="greaterThanOrEqual" val="45658"/>
            <customFilter operator="lessThanOrEqual" val="456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E6ED03-BCD4-49CB-9F29-04DEBC2297E5}" name="gastos_fijos_meses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 rowHeaderCaption="Gastos Fijos">
  <location ref="CD8:CE9" firstHeaderRow="1" firstDataRow="1" firstDataCol="1" rowPageCount="2" colPageCount="1"/>
  <pivotFields count="7">
    <pivotField numFmtId="14" showAll="0">
      <items count="2">
        <item x="0"/>
        <item t="default"/>
      </items>
    </pivotField>
    <pivotField showAll="0" sortType="ascending">
      <items count="4"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6" showAll="0"/>
    <pivotField axis="axisPage" multipleItemSelectionAllowed="1" showAll="0" sortType="ascending">
      <items count="3">
        <item h="1"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4">
        <item h="1" x="0"/>
        <item x="1"/>
        <item h="1" x="2"/>
        <item t="default"/>
      </items>
    </pivotField>
    <pivotField showAll="0" defaultSubtota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1">
    <i t="grand">
      <x/>
    </i>
  </rowItems>
  <colItems count="1">
    <i/>
  </colItems>
  <pageFields count="2">
    <pageField fld="3" hier="-1"/>
    <pageField fld="4" hier="-1"/>
  </pageFields>
  <dataFields count="1">
    <dataField name="Dinero" fld="2" baseField="0" baseItem="0" numFmtId="5"/>
  </dataFields>
  <formats count="1">
    <format dxfId="33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08D589-F317-47E5-95B8-48B7892E0C17}" name="billeteras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4" rowHeaderCaption="Billetera">
  <location ref="AA5:AB7" firstHeaderRow="1" firstDataRow="1" firstDataCol="1"/>
  <pivotFields count="7">
    <pivotField numFmtId="14" showAll="0">
      <items count="2">
        <item x="0"/>
        <item t="default"/>
      </items>
    </pivotField>
    <pivotField showAll="0"/>
    <pivotField dataField="1" numFmtId="6" showAll="0"/>
    <pivotField axis="axisRow" showAll="0" sortType="descending">
      <items count="3">
        <item h="1"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3"/>
  </rowFields>
  <rowItems count="2">
    <i>
      <x v="1"/>
    </i>
    <i t="grand">
      <x/>
    </i>
  </rowItems>
  <colItems count="1">
    <i/>
  </colItems>
  <dataFields count="1">
    <dataField name="Dinero Total" fld="2" baseField="0" baseItem="0" numFmtId="6"/>
  </dataFields>
  <chartFormats count="3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32AAED17-6234-41F9-A88E-2B1E68DCCE67}" sourceName="Descripcion">
  <pivotTables>
    <pivotTable tabId="2" name="gastos_fijos_meses"/>
  </pivotTables>
  <data>
    <tabular pivotCacheId="109707187">
      <items count="3">
        <i x="2" s="1" nd="1"/>
        <i x="0" s="1" nd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43E2BF0C-1438-4990-ADB9-F27AB14057D4}" cache="SegmentaciónDeDatos_Descripcion" columnCount="3" showCaption="0" style="Estilo de segmentación de datos 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90CC73-9CEA-4F19-AF49-C24FE56F42A6}" name="Registros" displayName="Registros" ref="A5:E8" totalsRowShown="0" headerRowDxfId="26" dataDxfId="25">
  <tableColumns count="5">
    <tableColumn id="1" xr3:uid="{6E49F5C4-882D-4935-9E75-F26E2DA44D32}" name="Fecha" dataDxfId="24"/>
    <tableColumn id="2" xr3:uid="{7A6964F6-3BB9-4495-915E-32FC3E5FCA41}" name="Descripcion" dataDxfId="23"/>
    <tableColumn id="3" xr3:uid="{8CA78AD9-703C-4A2D-8458-0840FCFD4CD0}" name="Movimiento en $" dataDxfId="22"/>
    <tableColumn id="4" xr3:uid="{503DA4AE-0526-403C-8EB4-746EFAD3D690}" name="Billetera" dataDxfId="21"/>
    <tableColumn id="5" xr3:uid="{C25B0551-6FCF-4A43-9FEF-74BF26A9231E}" name="Sector" dataDxfId="20"/>
  </tableColumns>
  <tableStyleInfo name="TableStyleMedium9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945355-7408-4B6D-AED4-99D4EDFE1336}" name="presupuesto_semanal" displayName="presupuesto_semanal" ref="T5:W9" totalsRowShown="0">
  <autoFilter ref="T5:W9" xr:uid="{47945355-7408-4B6D-AED4-99D4EDFE1336}">
    <filterColumn colId="0" hiddenButton="1"/>
    <filterColumn colId="1" hiddenButton="1"/>
    <filterColumn colId="2" hiddenButton="1"/>
    <filterColumn colId="3" hiddenButton="1"/>
  </autoFilter>
  <tableColumns count="4">
    <tableColumn id="1" xr3:uid="{864B4A48-B526-46C9-971C-ADF14A9622BD}" name="Semana" dataDxfId="19"/>
    <tableColumn id="2" xr3:uid="{62B0F333-6EF9-4D60-9F8B-BC669A8E6848}" name="Presupuesto Inicial" dataDxfId="18"/>
    <tableColumn id="3" xr3:uid="{4387E7E7-DAFA-42F7-B0F6-94459AC619A5}" name="Gastos Acumulados" dataDxfId="17"/>
    <tableColumn id="4" xr3:uid="{76121C01-D5E6-4DC7-9195-CFB420385570}" name="Saldo Restante" dataDxfId="16">
      <calculatedColumnFormula>U6 - V6</calculatedColumnFormula>
    </tableColumn>
  </tableColumns>
  <tableStyleInfo name="TableStyleMedium14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0F32066-0615-4B83-9BDD-47069CE3FFA4}" name="dinero_mensual_disponible" displayName="dinero_mensual_disponible" ref="I5:J17" totalsRowShown="0">
  <autoFilter ref="I5:J17" xr:uid="{10F32066-0615-4B83-9BDD-47069CE3FFA4}">
    <filterColumn colId="0" hiddenButton="1"/>
    <filterColumn colId="1" hiddenButton="1"/>
  </autoFilter>
  <tableColumns count="2">
    <tableColumn id="1" xr3:uid="{E23D7357-6A10-4B3F-88C4-027B075A2119}" name="Mes"/>
    <tableColumn id="2" xr3:uid="{91AD37D6-D8C1-4E3D-97C9-4713A3F7807F}" name="Dinero INICIAL Disponible" dataDxfId="15"/>
  </tableColumns>
  <tableStyleInfo name="TableStyleMedium14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39C495-B4F3-4B9A-8AF4-1DBD587FECBA}" name="Tabla3" displayName="Tabla3" ref="AM5:AO17" totalsRowShown="0">
  <autoFilter ref="AM5:AO17" xr:uid="{9839C495-B4F3-4B9A-8AF4-1DBD587FECBA}">
    <filterColumn colId="0" hiddenButton="1"/>
    <filterColumn colId="1" hiddenButton="1"/>
    <filterColumn colId="2" hiddenButton="1"/>
  </autoFilter>
  <tableColumns count="3">
    <tableColumn id="1" xr3:uid="{51B20C5C-881B-45A0-8324-74B160A54F4F}" name="Mes"/>
    <tableColumn id="2" xr3:uid="{6740752B-6905-4EBB-9CDB-1539C461F72F}" name="Ingreso">
      <calculatedColumnFormula>IF(Tabla3[[#This Row],[Mes]]=AJ8,AK8,"")</calculatedColumnFormula>
    </tableColumn>
    <tableColumn id="3" xr3:uid="{E7FF35BD-AD59-4C6D-BF89-57004D0CAD72}" name="Variabilidad" dataDxfId="14"/>
  </tableColumns>
  <tableStyleInfo name="TableStyleMedium8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A3E7F9-8B59-4C3B-AD93-CB171FC0BF8C}" name="Tabla4" displayName="Tabla4" ref="L5:N17" totalsRowShown="0">
  <autoFilter ref="L5:N17" xr:uid="{5DA3E7F9-8B59-4C3B-AD93-CB171FC0BF8C}">
    <filterColumn colId="0" hiddenButton="1"/>
    <filterColumn colId="1" hiddenButton="1"/>
    <filterColumn colId="2" hiddenButton="1"/>
  </autoFilter>
  <tableColumns count="3">
    <tableColumn id="1" xr3:uid="{A5FBF5E2-6F61-45FB-8938-EA1B5B1441A7}" name="Mes"/>
    <tableColumn id="2" xr3:uid="{B4E768C6-15BB-42A0-864E-686EC8AB11C3}" name="Inflación" dataDxfId="13"/>
    <tableColumn id="4" xr3:uid="{B15ED3C5-989D-4B98-BDFA-DAF3D32BBEF7}" name="Ingreso Ajustado" dataDxfId="12">
      <calculatedColumnFormula>IFERROR(Tabla7[[#This Row],[Ingreso Ajustado]],0)</calculatedColumnFormula>
    </tableColumn>
  </tableColumns>
  <tableStyleInfo name="TableStyleMedium1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815A9D-B009-4E8C-ADC3-B55E01D88EC8}" name="Tabla7" displayName="Tabla7" ref="AQ5:AS17" totalsRowShown="0">
  <autoFilter ref="AQ5:AS17" xr:uid="{71815A9D-B009-4E8C-ADC3-B55E01D88EC8}">
    <filterColumn colId="0" hiddenButton="1"/>
    <filterColumn colId="1" hiddenButton="1"/>
    <filterColumn colId="2" hiddenButton="1"/>
  </autoFilter>
  <tableColumns count="3">
    <tableColumn id="1" xr3:uid="{C8C1ADC9-DDD2-4527-9B38-314AF2979541}" name="Mes"/>
    <tableColumn id="2" xr3:uid="{0E58D5A8-14F7-4F10-9318-8F299D2C283A}" name="Ingreso Ajustado" dataDxfId="11"/>
    <tableColumn id="3" xr3:uid="{1A0CA616-768D-474E-BE3C-F5467DB0E0EC}" name="IPC">
      <calculatedColumnFormula>IF(Tabla4[[#This Row],[Inflación]]&gt;0,Tabla4[[#This Row],[Inflación]],"")</calculatedColumnFormula>
    </tableColumn>
  </tableColumns>
  <tableStyleInfo name="TableStyleMedium8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F6CAE83-5126-4E85-8D7C-075A26213AC5}" name="t_variabilidad_gastos" displayName="t_variabilidad_gastos" ref="BI5:BK17" totalsRowShown="0">
  <autoFilter ref="BI5:BK17" xr:uid="{3F6CAE83-5126-4E85-8D7C-075A26213AC5}">
    <filterColumn colId="0" hiddenButton="1"/>
    <filterColumn colId="1" hiddenButton="1"/>
    <filterColumn colId="2" hiddenButton="1"/>
  </autoFilter>
  <tableColumns count="3">
    <tableColumn id="1" xr3:uid="{5C969558-AC32-4051-BCA2-66B934E1FFEE}" name="Mes"/>
    <tableColumn id="2" xr3:uid="{57B3C614-71B9-4A14-968E-0B1F0DE14E71}" name="Gastos">
      <calculatedColumnFormula>IF(t_variabilidad_gastos[[#This Row],[Mes]]=BF8,ABS(BG8),"")</calculatedColumnFormula>
    </tableColumn>
    <tableColumn id="3" xr3:uid="{553C81C0-9CB8-487E-83D1-491B463CFD85}" name="Variabilidad" dataCellStyle="Porcentaje"/>
  </tableColumns>
  <tableStyleInfo name="TableStyleMedium8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A8EED60-7678-4433-8D9B-D19B97114328}" name="t_valor_velocimetro" displayName="t_valor_velocimetro" ref="BM5:BN9" totalsRowShown="0">
  <autoFilter ref="BM5:BN9" xr:uid="{DA8EED60-7678-4433-8D9B-D19B97114328}">
    <filterColumn colId="0" hiddenButton="1"/>
    <filterColumn colId="1" hiddenButton="1"/>
  </autoFilter>
  <tableColumns count="2">
    <tableColumn id="1" xr3:uid="{FB250FBD-CB49-4D9A-ACD5-9129ED069CA5}" name="Rango"/>
    <tableColumn id="2" xr3:uid="{CA69C18E-2271-4915-9FA7-64F9803407F5}" name="Valor"/>
  </tableColumns>
  <tableStyleInfo name="TableStyleMedium8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EF88917-7936-4473-A2D3-A0E04CBE7832}" name="t_gasto_diario_limite" displayName="t_gasto_diario_limite" ref="BM11:BO23" totalsRowShown="0">
  <autoFilter ref="BM11:BO23" xr:uid="{4EF88917-7936-4473-A2D3-A0E04CBE7832}">
    <filterColumn colId="0" hiddenButton="1"/>
    <filterColumn colId="1" hiddenButton="1"/>
    <filterColumn colId="2" hiddenButton="1"/>
  </autoFilter>
  <tableColumns count="3">
    <tableColumn id="1" xr3:uid="{64F345CE-3084-4950-A112-1C94DC59AEA3}" name="Mes"/>
    <tableColumn id="2" xr3:uid="{E1AFE51C-318C-4964-87D4-3D4C1EEE062A}" name="Dias del mes" dataDxfId="10"/>
    <tableColumn id="3" xr3:uid="{BD72CBF6-1571-47DA-92AC-973509DC23E8}" name="Gasto diario limite" dataDxfId="9">
      <calculatedColumnFormula>J6/t_gasto_diario_limite[[#This Row],[Dias del mes]]</calculatedColumnFormula>
    </tableColumn>
  </tableColumns>
  <tableStyleInfo name="TableStyleMedium8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B9FB77-6761-4167-B3E3-324E13158681}" name="categoria_gastos" displayName="categoria_gastos" ref="G5:G6" totalsRowShown="0" dataDxfId="8">
  <autoFilter ref="G5:G6" xr:uid="{50B9FB77-6761-4167-B3E3-324E13158681}">
    <filterColumn colId="0" hiddenButton="1"/>
  </autoFilter>
  <tableColumns count="1">
    <tableColumn id="1" xr3:uid="{6F60E96B-5711-440E-9535-652305A3E782}" name="Categorias de Gastos" dataDxfId="7"/>
  </tableColumns>
  <tableStyleInfo name="TableStyleMedium10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4AAF1764-43BB-4528-A58E-34C6CDF04A59}" sourceName="Fecha">
  <pivotTables>
    <pivotTable tabId="2" name="gastos"/>
    <pivotTable tabId="2" name="ingresos"/>
    <pivotTable tabId="2" name="gastos_diarios"/>
    <pivotTable tabId="2" name="gastos_fijos"/>
  </pivotTables>
  <state minimalRefreshVersion="6" lastRefreshVersion="6" pivotCacheId="109707187" filterType="dateBetween">
    <selection startDate="2025-01-01T00:00:00" endDate="2025-01-31T00:00:00"/>
    <bounds startDate="2025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DAC0C6C8-60C2-4DAC-8170-8312D353AA38}" cache="NativeTimeline_Fecha" caption="" showHeader="0" showSelectionLabel="0" showHorizontalScrollbar="0" level="2" selectionLevel="2" scrollPosition="2025-01-01T00:00:00" style="Estilo de escala de tiempo 1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table" Target="../tables/table2.xml"/><Relationship Id="rId18" Type="http://schemas.openxmlformats.org/officeDocument/2006/relationships/table" Target="../tables/table7.xml"/><Relationship Id="rId3" Type="http://schemas.openxmlformats.org/officeDocument/2006/relationships/pivotTable" Target="../pivotTables/pivotTable3.xml"/><Relationship Id="rId21" Type="http://schemas.openxmlformats.org/officeDocument/2006/relationships/table" Target="../tables/table10.xml"/><Relationship Id="rId7" Type="http://schemas.openxmlformats.org/officeDocument/2006/relationships/pivotTable" Target="../pivotTables/pivotTable7.xml"/><Relationship Id="rId12" Type="http://schemas.openxmlformats.org/officeDocument/2006/relationships/table" Target="../tables/table1.xml"/><Relationship Id="rId17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6" Type="http://schemas.openxmlformats.org/officeDocument/2006/relationships/table" Target="../tables/table5.xml"/><Relationship Id="rId20" Type="http://schemas.openxmlformats.org/officeDocument/2006/relationships/table" Target="../tables/table9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5" Type="http://schemas.openxmlformats.org/officeDocument/2006/relationships/table" Target="../tables/table4.xml"/><Relationship Id="rId10" Type="http://schemas.openxmlformats.org/officeDocument/2006/relationships/printerSettings" Target="../printerSettings/printerSettings1.bin"/><Relationship Id="rId19" Type="http://schemas.openxmlformats.org/officeDocument/2006/relationships/table" Target="../tables/table8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1/relationships/timeline" Target="../timelines/timelin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D41F8-DDAC-4CA0-B3D2-AADAA36A5C2F}">
  <sheetPr codeName="Hoja2"/>
  <dimension ref="A1:CJ29"/>
  <sheetViews>
    <sheetView showGridLines="0" tabSelected="1" workbookViewId="0">
      <selection activeCell="A9" sqref="A9"/>
    </sheetView>
  </sheetViews>
  <sheetFormatPr baseColWidth="10" defaultRowHeight="15" x14ac:dyDescent="0.25"/>
  <cols>
    <col min="1" max="1" width="8.7109375" style="30" bestFit="1" customWidth="1"/>
    <col min="2" max="2" width="18.7109375" style="30" bestFit="1" customWidth="1"/>
    <col min="3" max="3" width="16.28515625" style="30" bestFit="1" customWidth="1"/>
    <col min="4" max="4" width="8.5703125" style="30" bestFit="1" customWidth="1"/>
    <col min="5" max="5" width="20.140625" style="30" bestFit="1" customWidth="1"/>
    <col min="6" max="6" width="5.140625" customWidth="1"/>
    <col min="7" max="7" width="20.140625" style="30" bestFit="1" customWidth="1"/>
    <col min="8" max="8" width="4.42578125" customWidth="1"/>
    <col min="9" max="9" width="4.85546875" bestFit="1" customWidth="1"/>
    <col min="10" max="10" width="24.140625" bestFit="1" customWidth="1"/>
    <col min="11" max="11" width="4.42578125" customWidth="1"/>
    <col min="12" max="12" width="11.42578125" bestFit="1" customWidth="1"/>
    <col min="13" max="13" width="8.7109375" bestFit="1" customWidth="1"/>
    <col min="14" max="14" width="15.85546875" bestFit="1" customWidth="1"/>
    <col min="15" max="15" width="4.85546875" customWidth="1"/>
    <col min="16" max="16" width="73.140625" style="6" customWidth="1"/>
    <col min="17" max="17" width="8.140625" customWidth="1"/>
    <col min="18" max="18" width="8" customWidth="1"/>
    <col min="19" max="19" width="4.42578125" customWidth="1"/>
    <col min="20" max="20" width="9.42578125" customWidth="1"/>
    <col min="21" max="21" width="18" customWidth="1"/>
    <col min="22" max="22" width="18.42578125" customWidth="1"/>
    <col min="23" max="23" width="14.140625" customWidth="1"/>
    <col min="24" max="24" width="12.140625" customWidth="1"/>
    <col min="25" max="25" width="20.85546875" style="19" customWidth="1"/>
    <col min="26" max="26" width="5.140625" customWidth="1"/>
    <col min="27" max="27" width="12.5703125" bestFit="1" customWidth="1"/>
    <col min="28" max="28" width="11.85546875" customWidth="1"/>
    <col min="29" max="29" width="4.42578125" customWidth="1"/>
    <col min="30" max="30" width="18.7109375" bestFit="1" customWidth="1"/>
    <col min="31" max="31" width="10.28515625" bestFit="1" customWidth="1"/>
    <col min="32" max="32" width="5" customWidth="1"/>
    <col min="33" max="33" width="12.5703125" customWidth="1"/>
    <col min="34" max="34" width="7" bestFit="1" customWidth="1"/>
    <col min="35" max="35" width="5.28515625" customWidth="1"/>
    <col min="36" max="36" width="12.5703125" customWidth="1"/>
    <col min="37" max="37" width="15.7109375" bestFit="1" customWidth="1"/>
    <col min="38" max="38" width="3.85546875" customWidth="1"/>
    <col min="39" max="39" width="4.85546875" customWidth="1"/>
    <col min="40" max="40" width="8" customWidth="1"/>
    <col min="41" max="41" width="11.7109375" customWidth="1"/>
    <col min="42" max="42" width="3.85546875" customWidth="1"/>
    <col min="43" max="43" width="4.85546875" customWidth="1"/>
    <col min="44" max="44" width="15.85546875" customWidth="1"/>
    <col min="45" max="45" width="7" customWidth="1"/>
    <col min="46" max="46" width="3.85546875" customWidth="1"/>
    <col min="47" max="47" width="20.140625" bestFit="1" customWidth="1"/>
    <col min="48" max="48" width="9.85546875" customWidth="1"/>
    <col min="49" max="49" width="3.5703125" customWidth="1"/>
    <col min="50" max="50" width="6.42578125" customWidth="1"/>
    <col min="51" max="51" width="16.5703125" customWidth="1"/>
    <col min="52" max="52" width="15.7109375" customWidth="1"/>
    <col min="53" max="53" width="9.7109375" customWidth="1"/>
    <col min="54" max="54" width="4.5703125" customWidth="1"/>
    <col min="55" max="55" width="12.5703125" customWidth="1"/>
    <col min="56" max="56" width="22.42578125" bestFit="1" customWidth="1"/>
    <col min="57" max="57" width="4.42578125" customWidth="1"/>
    <col min="58" max="58" width="12.5703125" customWidth="1"/>
    <col min="59" max="59" width="22.42578125" bestFit="1" customWidth="1"/>
    <col min="60" max="60" width="4.140625" customWidth="1"/>
    <col min="61" max="61" width="7" customWidth="1"/>
    <col min="62" max="62" width="9.140625" customWidth="1"/>
    <col min="63" max="63" width="13.85546875" customWidth="1"/>
    <col min="64" max="64" width="4.140625" customWidth="1"/>
    <col min="65" max="65" width="25.28515625" customWidth="1"/>
    <col min="66" max="66" width="12.140625" customWidth="1"/>
    <col min="67" max="67" width="17.5703125" customWidth="1"/>
    <col min="68" max="68" width="5" customWidth="1"/>
    <col min="69" max="70" width="11.42578125" customWidth="1"/>
    <col min="71" max="71" width="15.7109375" customWidth="1"/>
    <col min="72" max="72" width="11.42578125" customWidth="1"/>
    <col min="73" max="73" width="6.5703125" customWidth="1"/>
    <col min="74" max="75" width="11.42578125" customWidth="1"/>
    <col min="76" max="76" width="15.7109375" customWidth="1"/>
    <col min="77" max="77" width="11.42578125" customWidth="1"/>
    <col min="78" max="78" width="7.42578125" customWidth="1"/>
    <col min="79" max="79" width="13.85546875" bestFit="1" customWidth="1"/>
    <col min="80" max="80" width="10.42578125" bestFit="1" customWidth="1"/>
    <col min="81" max="81" width="6.140625" customWidth="1"/>
    <col min="82" max="82" width="13.85546875" customWidth="1"/>
    <col min="83" max="83" width="10.42578125" bestFit="1" customWidth="1"/>
    <col min="84" max="89" width="11.42578125" customWidth="1"/>
  </cols>
  <sheetData>
    <row r="1" spans="1:88" s="6" customFormat="1" x14ac:dyDescent="0.25">
      <c r="Y1" s="16"/>
    </row>
    <row r="2" spans="1:88" s="6" customFormat="1" x14ac:dyDescent="0.25">
      <c r="Y2" s="16"/>
    </row>
    <row r="3" spans="1:88" s="6" customFormat="1" x14ac:dyDescent="0.25">
      <c r="Y3" s="16"/>
    </row>
    <row r="4" spans="1:88" s="6" customFormat="1" x14ac:dyDescent="0.25">
      <c r="Y4" s="16"/>
    </row>
    <row r="5" spans="1:88" x14ac:dyDescent="0.25">
      <c r="A5" t="s">
        <v>0</v>
      </c>
      <c r="B5" t="s">
        <v>1</v>
      </c>
      <c r="C5" t="s">
        <v>2</v>
      </c>
      <c r="D5" t="s">
        <v>5</v>
      </c>
      <c r="E5" t="s">
        <v>3</v>
      </c>
      <c r="G5" t="s">
        <v>16</v>
      </c>
      <c r="I5" t="s">
        <v>26</v>
      </c>
      <c r="J5" t="s">
        <v>27</v>
      </c>
      <c r="L5" t="s">
        <v>26</v>
      </c>
      <c r="M5" t="s">
        <v>44</v>
      </c>
      <c r="N5" t="s">
        <v>58</v>
      </c>
      <c r="R5" s="12" t="str" cm="1">
        <f t="array" ref="R5">INDEX(dinero_mensual_disponible[Mes], MAX(IF(dinero_mensual_disponible[Dinero INICIAL Disponible]&gt;0, ROW(dinero_mensual_disponible[Mes])-MIN(ROW(dinero_mensual_disponible[Mes]))+1)))</f>
        <v>ene</v>
      </c>
      <c r="T5" t="s">
        <v>22</v>
      </c>
      <c r="U5" t="s">
        <v>23</v>
      </c>
      <c r="V5" t="s">
        <v>24</v>
      </c>
      <c r="W5" t="s">
        <v>25</v>
      </c>
      <c r="Y5" s="17" t="s">
        <v>12</v>
      </c>
      <c r="AA5" s="1" t="s">
        <v>5</v>
      </c>
      <c r="AB5" t="s">
        <v>11</v>
      </c>
      <c r="AD5" s="1" t="s">
        <v>3</v>
      </c>
      <c r="AE5" t="s">
        <v>4</v>
      </c>
      <c r="AG5" s="1" t="s">
        <v>6</v>
      </c>
      <c r="AH5" t="s">
        <v>8</v>
      </c>
      <c r="AJ5" s="1" t="s">
        <v>3</v>
      </c>
      <c r="AK5" t="s">
        <v>6</v>
      </c>
      <c r="AM5" t="s">
        <v>26</v>
      </c>
      <c r="AN5" t="s">
        <v>42</v>
      </c>
      <c r="AO5" t="s">
        <v>43</v>
      </c>
      <c r="AQ5" t="s">
        <v>26</v>
      </c>
      <c r="AR5" t="s">
        <v>58</v>
      </c>
      <c r="AS5" t="s">
        <v>57</v>
      </c>
      <c r="AU5" s="1" t="s">
        <v>1</v>
      </c>
      <c r="AV5" t="s">
        <v>74</v>
      </c>
      <c r="AX5" s="10" t="s">
        <v>13</v>
      </c>
      <c r="AY5" s="10" t="s">
        <v>14</v>
      </c>
      <c r="AZ5" s="10" t="s">
        <v>15</v>
      </c>
      <c r="BA5" s="10" t="s">
        <v>10</v>
      </c>
      <c r="BC5" s="1" t="s">
        <v>3</v>
      </c>
      <c r="BD5" t="s">
        <v>80</v>
      </c>
      <c r="BF5" s="1" t="s">
        <v>3</v>
      </c>
      <c r="BG5" t="s">
        <v>80</v>
      </c>
      <c r="BI5" t="s">
        <v>26</v>
      </c>
      <c r="BJ5" t="s">
        <v>10</v>
      </c>
      <c r="BK5" t="s">
        <v>43</v>
      </c>
      <c r="BM5" t="s">
        <v>60</v>
      </c>
      <c r="BN5" t="s">
        <v>61</v>
      </c>
      <c r="BQ5" s="10" t="s">
        <v>13</v>
      </c>
      <c r="BR5" s="10" t="s">
        <v>14</v>
      </c>
      <c r="BS5" s="10" t="s">
        <v>15</v>
      </c>
      <c r="BT5" s="10" t="s">
        <v>10</v>
      </c>
      <c r="BV5" s="10" t="s">
        <v>13</v>
      </c>
      <c r="BW5" s="10" t="s">
        <v>14</v>
      </c>
      <c r="BX5" s="10" t="s">
        <v>15</v>
      </c>
      <c r="BY5" s="10" t="s">
        <v>10</v>
      </c>
      <c r="CA5" s="1" t="s">
        <v>5</v>
      </c>
      <c r="CB5" t="s">
        <v>78</v>
      </c>
      <c r="CD5" s="1" t="s">
        <v>5</v>
      </c>
      <c r="CE5" t="s">
        <v>78</v>
      </c>
      <c r="CG5" s="10" t="s">
        <v>13</v>
      </c>
      <c r="CH5" s="10" t="s">
        <v>14</v>
      </c>
      <c r="CI5" s="10" t="s">
        <v>15</v>
      </c>
      <c r="CJ5" s="10" t="s">
        <v>10</v>
      </c>
    </row>
    <row r="6" spans="1:88" x14ac:dyDescent="0.25">
      <c r="A6" s="29">
        <v>45658</v>
      </c>
      <c r="B6" s="30" t="s">
        <v>75</v>
      </c>
      <c r="C6" s="31">
        <v>3</v>
      </c>
      <c r="D6" s="30" t="s">
        <v>78</v>
      </c>
      <c r="E6" s="30" t="s">
        <v>6</v>
      </c>
      <c r="G6" s="30" t="s">
        <v>80</v>
      </c>
      <c r="I6" t="s">
        <v>28</v>
      </c>
      <c r="J6" s="32">
        <v>4</v>
      </c>
      <c r="L6" t="s">
        <v>45</v>
      </c>
      <c r="M6" s="33">
        <v>2.1999999999999999E-2</v>
      </c>
      <c r="N6" s="3">
        <f>IFERROR(Tabla7[[#This Row],[Ingreso Ajustado]],0)</f>
        <v>3</v>
      </c>
      <c r="T6" s="3" t="s">
        <v>18</v>
      </c>
      <c r="U6" s="3">
        <f>IF(INDEX(dinero_mensual_disponible[Dinero INICIAL Disponible], MATCH($R$5, dinero_mensual_disponible[Mes], 0))&gt;0,
   INDEX(dinero_mensual_disponible[Dinero INICIAL Disponible], MATCH($R$5, dinero_mensual_disponible[Mes], 0))/4,
   0)</f>
        <v>1</v>
      </c>
      <c r="V6" s="5">
        <f>MIN(U6, ABS(IFERROR(VLOOKUP($R$5, BF:BG, 2, FALSE), 0)))</f>
        <v>1</v>
      </c>
      <c r="W6" s="3">
        <f>U6 - V6</f>
        <v>0</v>
      </c>
      <c r="Y6" s="18">
        <f>dinero_total-reservas</f>
        <v>1</v>
      </c>
      <c r="AA6" s="2" t="s">
        <v>78</v>
      </c>
      <c r="AB6" s="3">
        <v>2</v>
      </c>
      <c r="AG6" s="2" t="s">
        <v>6</v>
      </c>
      <c r="AH6" s="3">
        <v>3</v>
      </c>
      <c r="AM6" t="s">
        <v>28</v>
      </c>
      <c r="AN6">
        <f>IF(Tabla3[[#This Row],[Mes]]=AJ8,AK8,"")</f>
        <v>3</v>
      </c>
      <c r="AO6" s="13"/>
      <c r="AQ6" t="s">
        <v>28</v>
      </c>
      <c r="AR6" s="3">
        <f>IF(Tabla3[[#This Row],[Ingreso]]&lt;&gt;"",Tabla3[[#This Row],[Ingreso]],"")</f>
        <v>3</v>
      </c>
      <c r="AS6" s="14">
        <f>IF(Tabla4[[#This Row],[Inflación]]&gt;0,Tabla4[[#This Row],[Inflación]],"")</f>
        <v>2.1999999999999999E-2</v>
      </c>
      <c r="AW6" s="4"/>
      <c r="AX6" s="9">
        <f>ROWS($AV$8:AV8)</f>
        <v>1</v>
      </c>
      <c r="AY6" s="8">
        <v>1</v>
      </c>
      <c r="AZ6" s="7" t="str" cm="1">
        <f t="array" ref="AZ6">IF(ROWS($AZ$6:AZ6) + $AY$6 - 1 &lt;= COUNTA(AU$8:INDEX(AU:AU, MATCH("zzz", AU:AU))) - 1,
     INDEX(AU$8:INDEX(AU:AU, MATCH("zzz", AU:AU)-1), ROWS($AZ$6:AZ6) + $AY$6 - 1),
     "")</f>
        <v>Categoria de ejemplo</v>
      </c>
      <c r="BA6" s="11" cm="1">
        <f t="array" ref="BA6">IF(ROWS($BA$6:BA6) + $AY$6 - 1 &lt;= COUNTA(AV$8:INDEX(AV:AV, MATCH(9E+307, AV:AV))) - 1,
     INDEX(AV$8:INDEX(AV:AV, MATCH(9E+307, AV:AV)-1), ROWS($BA$6:BA6) + $AY$6 - 1),
     "")</f>
        <v>-1</v>
      </c>
      <c r="BI6" t="s">
        <v>28</v>
      </c>
      <c r="BJ6">
        <f>IF(t_variabilidad_gastos[[#This Row],[Mes]]=BF8,ABS(BG8),"")</f>
        <v>1</v>
      </c>
      <c r="BK6" s="15"/>
      <c r="BM6" s="21" t="s">
        <v>62</v>
      </c>
      <c r="BN6">
        <v>100</v>
      </c>
      <c r="BQ6" s="7">
        <f>ROWS($AD$8:AD8)</f>
        <v>1</v>
      </c>
      <c r="BR6" s="28">
        <v>1</v>
      </c>
      <c r="BS6" s="7" t="str" cm="1">
        <f t="array" ref="BS6">IF(ROWS($BS$6:BS6) + $BR$6 - 1 &lt;= COUNTA(AD$8:INDEX(AD:AD, MATCH("zzz", AD:AD))) - 1,
    INDEX(AD$8:INDEX(AD:AD, MATCH("zzz", AD:AD)-1), ROWS($BS$6:BS6) + $BR$6 - 1),
    "")</f>
        <v>Reserva de ejemplo</v>
      </c>
      <c r="BT6" s="11" cm="1">
        <f t="array" ref="BT6">IF(ROWS($BT$6:BT6) + $BR$6 - 1 &lt;= COUNTA(AE$8:INDEX(AE:AE, MATCH(9E+307, AE:AE))) - 1,
    INDEX(AE$8:INDEX(AE:AE, MATCH(9E+307, AE:AE)-1), ROWS($BT$6:BT6) + $BR$6 - 1),
    "")</f>
        <v>1</v>
      </c>
      <c r="BV6" s="7">
        <f>ROWS($AD$8:AI8)</f>
        <v>1</v>
      </c>
      <c r="BW6" s="28">
        <v>1</v>
      </c>
      <c r="BX6" s="7" t="str" cm="1">
        <f t="array" ref="BX6">IF(ROWS($BX$6:BX6) + $BW$6 - 1 &lt;= COUNTA($AA$6:INDEX(AA:AA, MATCH("zzz", AA:AA))) - 1,
    INDEX($AA$6:INDEX(AA:AA, MATCH("zzz", AA:AA)-1), ROWS($BX$6:BX6) + $BW$6 - 1),
    "")</f>
        <v>Efectivo</v>
      </c>
      <c r="BY6" s="11" cm="1">
        <f t="array" ref="BY6">IF(ROWS($BY$6:BY6) + $BW$6 - 1 &lt;= COUNTA(AB$6:INDEX(AB:AB, MATCH(9E+307, AB:AB))) - 1,
    INDEX(AB$6:INDEX(AB:AB, MATCH(9E+307, AB:AB)-1), ROWS($BY$6:BY6) + $BW$6 - 1),
    "")</f>
        <v>2</v>
      </c>
      <c r="CA6" s="1" t="s">
        <v>3</v>
      </c>
      <c r="CB6" t="s">
        <v>4</v>
      </c>
      <c r="CD6" s="1" t="s">
        <v>3</v>
      </c>
      <c r="CE6" t="s">
        <v>4</v>
      </c>
      <c r="CG6" s="7">
        <f>ROWS($CA$10:CA10)</f>
        <v>1</v>
      </c>
      <c r="CH6" s="8">
        <v>1</v>
      </c>
      <c r="CI6" s="7" t="str" cm="1">
        <f t="array" ref="CI6">IF(ROWS($CI$6:CI6) + $CH$6 - 1 &lt;= COUNTA($CA$9:INDEX(CA:CA, MATCH("zzz", CA:CA))) - 1,
    INDEX($CA$9:INDEX(CA:CA, MATCH("zzz", CA:CA)-1), ROWS($CI$6:CI6) + $CH$6 - 1),
    "")</f>
        <v/>
      </c>
      <c r="CJ6" s="11" t="str" cm="1">
        <f t="array" ref="CJ6">IF(ROWS($CJ$6:CJ6) + $CH$6 - 1 &lt;= COUNTA($CB$9:INDEX(CB:CB, MATCH(9E+307, CB:CB))) - 1,
    INDEX($CB$9:INDEX(CB:CB, MATCH(9E+307, CB:CB)-1), ROWS($CJ$6:CJ6) + $CH$6 - 1),
    "")</f>
        <v/>
      </c>
    </row>
    <row r="7" spans="1:88" x14ac:dyDescent="0.25">
      <c r="A7" s="29">
        <v>45658</v>
      </c>
      <c r="B7" s="30" t="s">
        <v>81</v>
      </c>
      <c r="C7" s="31">
        <v>1</v>
      </c>
      <c r="E7" s="30" t="s">
        <v>4</v>
      </c>
      <c r="I7" t="s">
        <v>29</v>
      </c>
      <c r="J7" s="32"/>
      <c r="L7" t="s">
        <v>46</v>
      </c>
      <c r="M7" s="33"/>
      <c r="N7" s="3">
        <f>IFERROR(Tabla7[[#This Row],[Ingreso Ajustado]],0)</f>
        <v>0</v>
      </c>
      <c r="T7" s="3" t="s">
        <v>19</v>
      </c>
      <c r="U7" s="3">
        <f>IF(INDEX(dinero_mensual_disponible[Dinero INICIAL Disponible], MATCH($R$5, dinero_mensual_disponible[Mes], 0))&gt;0,
   INDEX(dinero_mensual_disponible[Dinero INICIAL Disponible], MATCH($R$5, dinero_mensual_disponible[Mes], 0))/4,
   0)</f>
        <v>1</v>
      </c>
      <c r="V7" s="5">
        <f>MIN(U7, MAX(0, ABS(IFERROR(VLOOKUP($R$5, BF:BG, 2, FALSE), 0)) - SUM(V$6:V6)))</f>
        <v>0</v>
      </c>
      <c r="W7" s="3">
        <f>U7 - V7</f>
        <v>1</v>
      </c>
      <c r="AA7" s="2" t="s">
        <v>7</v>
      </c>
      <c r="AB7" s="3">
        <v>2</v>
      </c>
      <c r="AD7" s="1" t="s">
        <v>9</v>
      </c>
      <c r="AE7" t="s">
        <v>8</v>
      </c>
      <c r="AG7" s="2" t="s">
        <v>7</v>
      </c>
      <c r="AH7" s="3">
        <v>3</v>
      </c>
      <c r="AJ7" s="1" t="s">
        <v>26</v>
      </c>
      <c r="AK7" t="s">
        <v>41</v>
      </c>
      <c r="AM7" t="s">
        <v>29</v>
      </c>
      <c r="AN7" t="str">
        <f>IF(Tabla3[[#This Row],[Mes]]=AJ9,AK9,"")</f>
        <v/>
      </c>
      <c r="AO7" s="13" t="str">
        <f>IFERROR((Tabla3[[#This Row],[Ingreso]]-AN6)/AN6,"")</f>
        <v/>
      </c>
      <c r="AQ7" t="s">
        <v>29</v>
      </c>
      <c r="AR7" s="3">
        <f>IF(Tabla3[[#This Row],[Ingreso]]="",0,AR6+(AR6*AS6))</f>
        <v>0</v>
      </c>
      <c r="AS7" s="14" t="str">
        <f>IF(Tabla4[[#This Row],[Inflación]]&gt;0,Tabla4[[#This Row],[Inflación]],"")</f>
        <v/>
      </c>
      <c r="AU7" s="1" t="s">
        <v>3</v>
      </c>
      <c r="AV7" t="s">
        <v>8</v>
      </c>
      <c r="AW7" s="4"/>
      <c r="AX7" s="7">
        <f>ROWS($AV$8:AV9)</f>
        <v>2</v>
      </c>
      <c r="AZ7" s="7" t="str" cm="1">
        <f t="array" ref="AZ7">IF(ROWS($AZ$6:AZ7) + $AY$6 - 1 &lt;= COUNTA(AU$8:INDEX(AU:AU, MATCH("zzz", AU:AU))) - 1,
     INDEX(AU$8:INDEX(AU:AU, MATCH("zzz", AU:AU)-1), ROWS($AZ$6:AZ7) + $AY$6 - 1),
     "")</f>
        <v/>
      </c>
      <c r="BA7" s="11" t="str" cm="1">
        <f t="array" ref="BA7">IF(ROWS($BA$6:BA7) + $AY$6 - 1 &lt;= COUNTA(AV$8:INDEX(AV:AV, MATCH(9E+307, AV:AV))) - 1,
     INDEX(AV$8:INDEX(AV:AV, MATCH(9E+307, AV:AV)-1), ROWS($BA$6:BA7) + $AY$6 - 1),
     "")</f>
        <v/>
      </c>
      <c r="BC7" s="1" t="s">
        <v>0</v>
      </c>
      <c r="BD7" t="s">
        <v>17</v>
      </c>
      <c r="BF7" s="1" t="s">
        <v>0</v>
      </c>
      <c r="BG7" t="s">
        <v>30</v>
      </c>
      <c r="BI7" t="s">
        <v>29</v>
      </c>
      <c r="BJ7" t="str">
        <f>IF(t_variabilidad_gastos[[#This Row],[Mes]]=BF9,ABS(BG9),"")</f>
        <v/>
      </c>
      <c r="BK7" s="15" t="str">
        <f>IFERROR((t_variabilidad_gastos[[#This Row],[Gastos]]-BJ6)/BJ6,"")</f>
        <v/>
      </c>
      <c r="BM7" s="22" t="s">
        <v>63</v>
      </c>
      <c r="BN7">
        <v>20</v>
      </c>
      <c r="BQ7" s="7">
        <f>ROWS($AD$8:AD9)</f>
        <v>2</v>
      </c>
      <c r="BS7" s="7" t="str" cm="1">
        <f t="array" ref="BS7">IF(ROWS($BS$6:BS7) + $BR$6 - 1 &lt;= COUNTA(AD$8:INDEX(AD:AD, MATCH("zzz", AD:AD))) - 1,
    INDEX(AD$8:INDEX(AD:AD, MATCH("zzz", AD:AD)-1), ROWS($BS$6:BS7) + $BR$6 - 1),
    "")</f>
        <v/>
      </c>
      <c r="BT7" s="11" t="str" cm="1">
        <f t="array" ref="BT7">IF(ROWS($BT$6:BT7) + $BR$6 - 1 &lt;= COUNTA(AE$8:INDEX(AE:AE, MATCH(9E+307, AE:AE))) - 1,
    INDEX(AE$8:INDEX(AE:AE, MATCH(9E+307, AE:AE)-1), ROWS($BT$6:BT7) + $BR$6 - 1),
    "")</f>
        <v/>
      </c>
      <c r="BV7" s="7">
        <f>ROWS($AD$8:AI9)</f>
        <v>2</v>
      </c>
      <c r="BX7" s="7" t="str" cm="1">
        <f t="array" ref="BX7">IF(ROWS($BX$6:BX7) + $BW$6 - 1 &lt;= COUNTA($AA$6:INDEX(AA:AA, MATCH("zzz", AA:AA))) - 1,
    INDEX($AA$6:INDEX(AA:AA, MATCH("zzz", AA:AA)-1), ROWS($BX$6:BX7) + $BW$6 - 1),
    "")</f>
        <v/>
      </c>
      <c r="BY7" s="11" t="str" cm="1">
        <f t="array" ref="BY7">IF(ROWS($BY$6:BY7) + $BW$6 - 1 &lt;= COUNTA(AB$6:INDEX(AB:AB, MATCH(9E+307, AB:AB))) - 1,
    INDEX(AB$6:INDEX(AB:AB, MATCH(9E+307, AB:AB)-1), ROWS($BY$6:BY7) + $BW$6 - 1),
    "")</f>
        <v/>
      </c>
      <c r="CG7" s="7">
        <f>ROWS($CA$10:CA11)</f>
        <v>2</v>
      </c>
      <c r="CI7" s="7" t="str" cm="1">
        <f t="array" ref="CI7">IF(ROWS($CI$6:CI7) + $CH$6 - 1 &lt;= COUNTA($CA$9:INDEX(CA:CA, MATCH("zzz", CA:CA))) - 1,
    INDEX($CA$9:INDEX(CA:CA, MATCH("zzz", CA:CA)-1), ROWS($CI$6:CI7) + $CH$6 - 1),
    "")</f>
        <v/>
      </c>
      <c r="CJ7" s="11" t="str" cm="1">
        <f t="array" ref="CJ7">IF(ROWS($CJ$6:CJ7) + $CH$6 - 1 &lt;= COUNTA($CB$9:INDEX(CB:CB, MATCH(9E+307, CB:CB))) - 1,
    INDEX($CB$9:INDEX(CB:CB, MATCH(9E+307, CB:CB)-1), ROWS($CJ$6:CJ7) + $CH$6 - 1),
    "")</f>
        <v/>
      </c>
    </row>
    <row r="8" spans="1:88" x14ac:dyDescent="0.25">
      <c r="A8" s="29">
        <v>45658</v>
      </c>
      <c r="B8" s="30" t="s">
        <v>79</v>
      </c>
      <c r="C8" s="31">
        <v>-1</v>
      </c>
      <c r="D8" s="30" t="s">
        <v>78</v>
      </c>
      <c r="E8" s="30" t="s">
        <v>80</v>
      </c>
      <c r="I8" t="s">
        <v>31</v>
      </c>
      <c r="J8" s="32"/>
      <c r="L8" t="s">
        <v>47</v>
      </c>
      <c r="M8" s="33"/>
      <c r="N8" s="3">
        <f>IFERROR(Tabla7[[#This Row],[Ingreso Ajustado]],0)</f>
        <v>0</v>
      </c>
      <c r="T8" s="3" t="s">
        <v>20</v>
      </c>
      <c r="U8" s="3">
        <f>IF(INDEX(dinero_mensual_disponible[Dinero INICIAL Disponible], MATCH($R$5, dinero_mensual_disponible[Mes], 0))&gt;0,
   INDEX(dinero_mensual_disponible[Dinero INICIAL Disponible], MATCH($R$5, dinero_mensual_disponible[Mes], 0))/4,
   0)</f>
        <v>1</v>
      </c>
      <c r="V8" s="5">
        <f>MIN(U8, MAX(0, ABS(IFERROR(VLOOKUP($R$5, BF:BG, 2, FALSE), 0)) - SUM(V$6:V7)))</f>
        <v>0</v>
      </c>
      <c r="W8" s="3">
        <f>U8 - V8</f>
        <v>1</v>
      </c>
      <c r="Y8" s="17" t="s">
        <v>11</v>
      </c>
      <c r="AD8" s="2" t="s">
        <v>81</v>
      </c>
      <c r="AE8" s="5">
        <v>1</v>
      </c>
      <c r="AJ8" s="2" t="s">
        <v>28</v>
      </c>
      <c r="AK8" s="3">
        <v>3</v>
      </c>
      <c r="AL8" s="3"/>
      <c r="AM8" s="3" t="s">
        <v>31</v>
      </c>
      <c r="AN8" t="str">
        <f>IF(Tabla3[[#This Row],[Mes]]=AJ10,AK10,"")</f>
        <v/>
      </c>
      <c r="AO8" s="13" t="str">
        <f>IFERROR((Tabla3[[#This Row],[Ingreso]]-AN7)/AN7,"")</f>
        <v/>
      </c>
      <c r="AP8" s="3"/>
      <c r="AQ8" s="3" t="s">
        <v>31</v>
      </c>
      <c r="AR8" s="3">
        <f>IF(Tabla3[[#This Row],[Ingreso]]="",0,AR7+(AR7*AS7))</f>
        <v>0</v>
      </c>
      <c r="AS8" s="14" t="str">
        <f>IF(Tabla4[[#This Row],[Inflación]]&gt;0,Tabla4[[#This Row],[Inflación]],"")</f>
        <v/>
      </c>
      <c r="AU8" s="2" t="s">
        <v>80</v>
      </c>
      <c r="AV8" s="4">
        <v>-1</v>
      </c>
      <c r="AW8" s="4"/>
      <c r="AX8" s="7">
        <f>ROWS($AV$8:AV10)</f>
        <v>3</v>
      </c>
      <c r="AZ8" s="7" t="str" cm="1">
        <f t="array" ref="AZ8">IF(ROWS($AZ$6:AZ8) + $AY$6 - 1 &lt;= COUNTA(AU$8:INDEX(AU:AU, MATCH("zzz", AU:AU))) - 1,
     INDEX(AU$8:INDEX(AU:AU, MATCH("zzz", AU:AU)-1), ROWS($AZ$6:AZ8) + $AY$6 - 1),
     "")</f>
        <v/>
      </c>
      <c r="BA8" s="11" t="str" cm="1">
        <f t="array" ref="BA8">IF(ROWS($BA$6:BA8) + $AY$6 - 1 &lt;= COUNTA(AV$8:INDEX(AV:AV, MATCH(9E+307, AV:AV))) - 1,
     INDEX(AV$8:INDEX(AV:AV, MATCH(9E+307, AV:AV)-1), ROWS($BA$6:BA8) + $AY$6 - 1),
     "")</f>
        <v/>
      </c>
      <c r="BC8" s="2" t="s">
        <v>77</v>
      </c>
      <c r="BD8" s="5">
        <v>-1</v>
      </c>
      <c r="BF8" s="2" t="s">
        <v>28</v>
      </c>
      <c r="BG8" s="5">
        <v>-1</v>
      </c>
      <c r="BI8" s="3" t="s">
        <v>31</v>
      </c>
      <c r="BJ8" t="str">
        <f>IF(t_variabilidad_gastos[[#This Row],[Mes]]=BF10,ABS(BG10),"")</f>
        <v/>
      </c>
      <c r="BK8" s="15" t="str">
        <f>IFERROR((t_variabilidad_gastos[[#This Row],[Gastos]]-BJ7)/BJ7,"")</f>
        <v/>
      </c>
      <c r="BM8" s="23" t="s">
        <v>64</v>
      </c>
      <c r="BN8">
        <v>60</v>
      </c>
      <c r="BQ8" s="7">
        <f>ROWS($AD$8:AD10)</f>
        <v>3</v>
      </c>
      <c r="BS8" s="7" t="str" cm="1">
        <f t="array" ref="BS8">IF(ROWS($BS$6:BS8) + $BR$6 - 1 &lt;= COUNTA(AD$8:INDEX(AD:AD, MATCH("zzz", AD:AD))) - 1,
    INDEX(AD$8:INDEX(AD:AD, MATCH("zzz", AD:AD)-1), ROWS($BS$6:BS8) + $BR$6 - 1),
    "")</f>
        <v/>
      </c>
      <c r="BT8" s="11" t="str" cm="1">
        <f t="array" ref="BT8">IF(ROWS($BT$6:BT8) + $BR$6 - 1 &lt;= COUNTA(AE$8:INDEX(AE:AE, MATCH(9E+307, AE:AE))) - 1,
    INDEX(AE$8:INDEX(AE:AE, MATCH(9E+307, AE:AE)-1), ROWS($BT$6:BT8) + $BR$6 - 1),
    "")</f>
        <v/>
      </c>
      <c r="BV8" s="7">
        <f>ROWS($AD$8:AI10)</f>
        <v>3</v>
      </c>
      <c r="BX8" s="7" t="str" cm="1">
        <f t="array" ref="BX8">IF(ROWS($BX$6:BX8) + $BW$6 - 1 &lt;= COUNTA($AA$6:INDEX(AA:AA, MATCH("zzz", AA:AA))) - 1,
    INDEX($AA$6:INDEX(AA:AA, MATCH("zzz", AA:AA)-1), ROWS($BX$6:BX8) + $BW$6 - 1),
    "")</f>
        <v/>
      </c>
      <c r="BY8" s="11" t="str" cm="1">
        <f t="array" ref="BY8">IF(ROWS($BY$6:BY8) + $BW$6 - 1 &lt;= COUNTA(AB$6:INDEX(AB:AB, MATCH(9E+307, AB:AB))) - 1,
    INDEX(AB$6:INDEX(AB:AB, MATCH(9E+307, AB:AB)-1), ROWS($BY$6:BY8) + $BW$6 - 1),
    "")</f>
        <v/>
      </c>
      <c r="CA8" s="1" t="s">
        <v>76</v>
      </c>
      <c r="CB8" t="s">
        <v>8</v>
      </c>
      <c r="CD8" s="1" t="s">
        <v>76</v>
      </c>
      <c r="CE8" t="s">
        <v>8</v>
      </c>
      <c r="CG8" s="7">
        <f>ROWS($CA$10:CA12)</f>
        <v>3</v>
      </c>
      <c r="CI8" s="7" t="str" cm="1">
        <f t="array" ref="CI8">IF(ROWS($CI$6:CI8) + $CH$6 - 1 &lt;= COUNTA($CA$9:INDEX(CA:CA, MATCH("zzz", CA:CA))) - 1,
    INDEX($CA$9:INDEX(CA:CA, MATCH("zzz", CA:CA)-1), ROWS($CI$6:CI8) + $CH$6 - 1),
    "")</f>
        <v/>
      </c>
      <c r="CJ8" s="11" t="str" cm="1">
        <f t="array" ref="CJ8">IF(ROWS($CJ$6:CJ8) + $CH$6 - 1 &lt;= COUNTA($CB$9:INDEX(CB:CB, MATCH(9E+307, CB:CB))) - 1,
    INDEX($CB$9:INDEX(CB:CB, MATCH(9E+307, CB:CB)-1), ROWS($CJ$6:CJ8) + $CH$6 - 1),
    "")</f>
        <v/>
      </c>
    </row>
    <row r="9" spans="1:88" x14ac:dyDescent="0.25">
      <c r="I9" t="s">
        <v>32</v>
      </c>
      <c r="J9" s="32"/>
      <c r="L9" t="s">
        <v>48</v>
      </c>
      <c r="M9" s="33"/>
      <c r="N9" s="3">
        <f>IFERROR(Tabla7[[#This Row],[Ingreso Ajustado]],0)</f>
        <v>0</v>
      </c>
      <c r="T9" s="3" t="s">
        <v>21</v>
      </c>
      <c r="U9" s="3">
        <f>IF(INDEX(dinero_mensual_disponible[Dinero INICIAL Disponible], MATCH($R$5, dinero_mensual_disponible[Mes], 0))&gt;0,
   INDEX(dinero_mensual_disponible[Dinero INICIAL Disponible], MATCH($R$5, dinero_mensual_disponible[Mes], 0))/4,
   0)</f>
        <v>1</v>
      </c>
      <c r="V9" s="5">
        <f>MAX(0, ABS(IFERROR(VLOOKUP($R$5, BF:BG, 2, FALSE), 0)) - SUM(V$6:V8))</f>
        <v>0</v>
      </c>
      <c r="W9" s="3">
        <f>U9 - V9</f>
        <v>1</v>
      </c>
      <c r="Y9" s="18">
        <f>GETPIVOTDATA("Movimiento en $",$AA$5)</f>
        <v>2</v>
      </c>
      <c r="AD9" s="2" t="s">
        <v>7</v>
      </c>
      <c r="AE9" s="5">
        <v>1</v>
      </c>
      <c r="AJ9" s="2" t="s">
        <v>7</v>
      </c>
      <c r="AK9" s="3">
        <v>3</v>
      </c>
      <c r="AL9" s="3"/>
      <c r="AM9" s="3" t="s">
        <v>32</v>
      </c>
      <c r="AN9" t="str">
        <f>IF(Tabla3[[#This Row],[Mes]]=AJ11,AK11,"")</f>
        <v/>
      </c>
      <c r="AO9" s="13" t="str">
        <f>IFERROR((Tabla3[[#This Row],[Ingreso]]-AN8)/AN8,"")</f>
        <v/>
      </c>
      <c r="AP9" s="3"/>
      <c r="AQ9" s="3" t="s">
        <v>32</v>
      </c>
      <c r="AR9" s="3">
        <f>IF(Tabla3[[#This Row],[Ingreso]]="",0,AR8+(AR8*AS8))</f>
        <v>0</v>
      </c>
      <c r="AS9" s="14" t="str">
        <f>IF(Tabla4[[#This Row],[Inflación]]&gt;0,Tabla4[[#This Row],[Inflación]],"")</f>
        <v/>
      </c>
      <c r="AU9" s="2" t="s">
        <v>7</v>
      </c>
      <c r="AV9" s="4">
        <v>-1</v>
      </c>
      <c r="AW9" s="4"/>
      <c r="AX9" s="7">
        <f>ROWS($AV$8:AV11)</f>
        <v>4</v>
      </c>
      <c r="AZ9" s="7" t="str" cm="1">
        <f t="array" ref="AZ9">IF(ROWS($AZ$6:AZ9) + $AY$6 - 1 &lt;= COUNTA(AU$8:INDEX(AU:AU, MATCH("zzz", AU:AU))) - 1,
     INDEX(AU$8:INDEX(AU:AU, MATCH("zzz", AU:AU)-1), ROWS($AZ$6:AZ9) + $AY$6 - 1),
     "")</f>
        <v/>
      </c>
      <c r="BA9" s="11" t="str" cm="1">
        <f t="array" ref="BA9">IF(ROWS($BA$6:BA9) + $AY$6 - 1 &lt;= COUNTA(AV$8:INDEX(AV:AV, MATCH(9E+307, AV:AV))) - 1,
     INDEX(AV$8:INDEX(AV:AV, MATCH(9E+307, AV:AV)-1), ROWS($BA$6:BA9) + $AY$6 - 1),
     "")</f>
        <v/>
      </c>
      <c r="BC9" s="2" t="s">
        <v>7</v>
      </c>
      <c r="BD9" s="5">
        <v>-1</v>
      </c>
      <c r="BF9" s="2" t="s">
        <v>7</v>
      </c>
      <c r="BG9" s="5">
        <v>-1</v>
      </c>
      <c r="BI9" s="3" t="s">
        <v>32</v>
      </c>
      <c r="BJ9" t="str">
        <f>IF(t_variabilidad_gastos[[#This Row],[Mes]]=BF11,ABS(BG11),"")</f>
        <v/>
      </c>
      <c r="BK9" s="15" t="str">
        <f>IFERROR((t_variabilidad_gastos[[#This Row],[Gastos]]-BJ8)/BJ8,"")</f>
        <v/>
      </c>
      <c r="BM9" t="s">
        <v>65</v>
      </c>
      <c r="BN9">
        <v>180</v>
      </c>
      <c r="BQ9" s="7">
        <f>ROWS($AD$8:AD11)</f>
        <v>4</v>
      </c>
      <c r="BS9" s="7" t="str" cm="1">
        <f t="array" ref="BS9">IF(ROWS($BS$6:BS9) + $BR$6 - 1 &lt;= COUNTA(AD$8:INDEX(AD:AD, MATCH("zzz", AD:AD))) - 1,
    INDEX(AD$8:INDEX(AD:AD, MATCH("zzz", AD:AD)-1), ROWS($BS$6:BS9) + $BR$6 - 1),
    "")</f>
        <v/>
      </c>
      <c r="BT9" s="11" t="str" cm="1">
        <f t="array" ref="BT9">IF(ROWS($BT$6:BT9) + $BR$6 - 1 &lt;= COUNTA(AE$8:INDEX(AE:AE, MATCH(9E+307, AE:AE))) - 1,
    INDEX(AE$8:INDEX(AE:AE, MATCH(9E+307, AE:AE)-1), ROWS($BT$6:BT9) + $BR$6 - 1),
    "")</f>
        <v/>
      </c>
      <c r="BV9" s="7">
        <f>ROWS($AD$8:AI11)</f>
        <v>4</v>
      </c>
      <c r="BX9" s="7" t="str" cm="1">
        <f t="array" ref="BX9">IF(ROWS($BX$6:BX9) + $BW$6 - 1 &lt;= COUNTA($AA$6:INDEX(AA:AA, MATCH("zzz", AA:AA))) - 1,
    INDEX($AA$6:INDEX(AA:AA, MATCH("zzz", AA:AA)-1), ROWS($BX$6:BX9) + $BW$6 - 1),
    "")</f>
        <v/>
      </c>
      <c r="BY9" s="11" t="str" cm="1">
        <f t="array" ref="BY9">IF(ROWS($BY$6:BY9) + $BW$6 - 1 &lt;= COUNTA(AB$6:INDEX(AB:AB, MATCH(9E+307, AB:AB))) - 1,
    INDEX(AB$6:INDEX(AB:AB, MATCH(9E+307, AB:AB)-1), ROWS($BY$6:BY9) + $BW$6 - 1),
    "")</f>
        <v/>
      </c>
      <c r="CA9" s="2" t="s">
        <v>7</v>
      </c>
      <c r="CB9" s="5"/>
      <c r="CD9" s="2" t="s">
        <v>7</v>
      </c>
      <c r="CE9" s="5"/>
      <c r="CG9" s="7">
        <f>ROWS($CA$10:CA13)</f>
        <v>4</v>
      </c>
      <c r="CI9" s="7" t="str" cm="1">
        <f t="array" ref="CI9">IF(ROWS($CI$6:CI9) + $CH$6 - 1 &lt;= COUNTA($CA$9:INDEX(CA:CA, MATCH("zzz", CA:CA))) - 1,
    INDEX($CA$9:INDEX(CA:CA, MATCH("zzz", CA:CA)-1), ROWS($CI$6:CI9) + $CH$6 - 1),
    "")</f>
        <v/>
      </c>
      <c r="CJ9" s="11" t="str" cm="1">
        <f t="array" ref="CJ9">IF(ROWS($CJ$6:CJ9) + $CH$6 - 1 &lt;= COUNTA($CB$9:INDEX(CB:CB, MATCH(9E+307, CB:CB))) - 1,
    INDEX($CB$9:INDEX(CB:CB, MATCH(9E+307, CB:CB)-1), ROWS($CJ$6:CJ9) + $CH$6 - 1),
    "")</f>
        <v/>
      </c>
    </row>
    <row r="10" spans="1:88" x14ac:dyDescent="0.25">
      <c r="I10" t="s">
        <v>33</v>
      </c>
      <c r="J10" s="32"/>
      <c r="L10" t="s">
        <v>49</v>
      </c>
      <c r="M10" s="33"/>
      <c r="N10" s="3">
        <f>IFERROR(Tabla7[[#This Row],[Ingreso Ajustado]],0)</f>
        <v>0</v>
      </c>
      <c r="T10" s="3"/>
      <c r="U10" s="3"/>
      <c r="V10" s="3"/>
      <c r="W10" s="3"/>
      <c r="AL10" s="3"/>
      <c r="AM10" s="3" t="s">
        <v>33</v>
      </c>
      <c r="AN10" t="str">
        <f>IF(Tabla3[[#This Row],[Mes]]=AJ12,AK12,"")</f>
        <v/>
      </c>
      <c r="AO10" s="13" t="str">
        <f>IFERROR((Tabla3[[#This Row],[Ingreso]]-AN9)/AN9,"")</f>
        <v/>
      </c>
      <c r="AP10" s="3"/>
      <c r="AQ10" s="3" t="s">
        <v>33</v>
      </c>
      <c r="AR10" s="3">
        <f>IF(Tabla3[[#This Row],[Ingreso]]="",0,AR9+(AR9*AS9))</f>
        <v>0</v>
      </c>
      <c r="AS10" s="14" t="str">
        <f>IF(Tabla4[[#This Row],[Inflación]]&gt;0,Tabla4[[#This Row],[Inflación]],"")</f>
        <v/>
      </c>
      <c r="AW10" s="4"/>
      <c r="AX10" s="7">
        <f>ROWS($AV$8:AV12)</f>
        <v>5</v>
      </c>
      <c r="AZ10" s="7" t="str" cm="1">
        <f t="array" ref="AZ10">IF(ROWS($AZ$6:AZ10) + $AY$6 - 1 &lt;= COUNTA(AU$8:INDEX(AU:AU, MATCH("zzz", AU:AU))) - 1,
     INDEX(AU$8:INDEX(AU:AU, MATCH("zzz", AU:AU)-1), ROWS($AZ$6:AZ10) + $AY$6 - 1),
     "")</f>
        <v/>
      </c>
      <c r="BA10" s="11" t="str" cm="1">
        <f t="array" ref="BA10">IF(ROWS($BA$6:BA10) + $AY$6 - 1 &lt;= COUNTA(AV$8:INDEX(AV:AV, MATCH(9E+307, AV:AV))) - 1,
     INDEX(AV$8:INDEX(AV:AV, MATCH(9E+307, AV:AV)-1), ROWS($BA$6:BA10) + $AY$6 - 1),
     "")</f>
        <v/>
      </c>
      <c r="BI10" s="3" t="s">
        <v>33</v>
      </c>
      <c r="BJ10" t="str">
        <f>IF(t_variabilidad_gastos[[#This Row],[Mes]]=BF12,ABS(BG12),"")</f>
        <v/>
      </c>
      <c r="BK10" s="15" t="str">
        <f>IFERROR((t_variabilidad_gastos[[#This Row],[Gastos]]-BJ9)/BJ9,"")</f>
        <v/>
      </c>
      <c r="CG10" s="7">
        <f>ROWS($CA$10:CA14)</f>
        <v>5</v>
      </c>
      <c r="CI10" s="7" t="str" cm="1">
        <f t="array" ref="CI10">IF(ROWS($CI$6:CI10) + $CH$6 - 1 &lt;= COUNTA($CA$9:INDEX(CA:CA, MATCH("zzz", CA:CA))) - 1,
    INDEX($CA$9:INDEX(CA:CA, MATCH("zzz", CA:CA)-1), ROWS($CI$6:CI10) + $CH$6 - 1),
    "")</f>
        <v/>
      </c>
      <c r="CJ10" s="11" t="str" cm="1">
        <f t="array" ref="CJ10">IF(ROWS($CJ$6:CJ10) + $CH$6 - 1 &lt;= COUNTA($CB$9:INDEX(CB:CB, MATCH(9E+307, CB:CB))) - 1,
    INDEX($CB$9:INDEX(CB:CB, MATCH(9E+307, CB:CB)-1), ROWS($CJ$6:CJ10) + $CH$6 - 1),
    "")</f>
        <v/>
      </c>
    </row>
    <row r="11" spans="1:88" x14ac:dyDescent="0.25">
      <c r="I11" t="s">
        <v>34</v>
      </c>
      <c r="J11" s="32"/>
      <c r="L11" t="s">
        <v>50</v>
      </c>
      <c r="M11" s="33"/>
      <c r="N11" s="3">
        <f>IFERROR(Tabla7[[#This Row],[Ingreso Ajustado]],0)</f>
        <v>0</v>
      </c>
      <c r="T11" s="3"/>
      <c r="U11" s="3"/>
      <c r="V11" s="3"/>
      <c r="W11" s="3"/>
      <c r="Y11" s="17" t="s">
        <v>9</v>
      </c>
      <c r="AM11" t="s">
        <v>34</v>
      </c>
      <c r="AN11" t="str">
        <f>IF(Tabla3[[#This Row],[Mes]]=AJ13,AK13,"")</f>
        <v/>
      </c>
      <c r="AO11" s="13" t="str">
        <f>IFERROR((Tabla3[[#This Row],[Ingreso]]-AN10)/AN10,"")</f>
        <v/>
      </c>
      <c r="AQ11" t="s">
        <v>34</v>
      </c>
      <c r="AR11" s="3">
        <f>IF(Tabla3[[#This Row],[Ingreso]]="",0,AR10+(AR10*AS10))</f>
        <v>0</v>
      </c>
      <c r="AS11" s="14" t="str">
        <f>IF(Tabla4[[#This Row],[Inflación]]&gt;0,Tabla4[[#This Row],[Inflación]],"")</f>
        <v/>
      </c>
      <c r="AW11" s="4"/>
      <c r="BI11" t="s">
        <v>34</v>
      </c>
      <c r="BJ11" t="str">
        <f>IF(t_variabilidad_gastos[[#This Row],[Mes]]=BF13,ABS(BG13),"")</f>
        <v/>
      </c>
      <c r="BK11" s="15" t="str">
        <f>IFERROR((t_variabilidad_gastos[[#This Row],[Gastos]]-BJ10)/BJ10,"")</f>
        <v/>
      </c>
      <c r="BM11" t="s">
        <v>26</v>
      </c>
      <c r="BN11" t="s">
        <v>69</v>
      </c>
      <c r="BO11" t="s">
        <v>66</v>
      </c>
    </row>
    <row r="12" spans="1:88" x14ac:dyDescent="0.25">
      <c r="I12" t="s">
        <v>35</v>
      </c>
      <c r="J12" s="32"/>
      <c r="L12" t="s">
        <v>51</v>
      </c>
      <c r="M12" s="33"/>
      <c r="N12" s="3">
        <f>IFERROR(Tabla7[[#This Row],[Ingreso Ajustado]],0)</f>
        <v>0</v>
      </c>
      <c r="T12" s="3"/>
      <c r="U12" s="3"/>
      <c r="V12" s="3"/>
      <c r="W12" s="3"/>
      <c r="Y12" s="18">
        <f>GETPIVOTDATA("Movimiento en $",$AD$7)</f>
        <v>1</v>
      </c>
      <c r="AM12" t="s">
        <v>35</v>
      </c>
      <c r="AN12" t="str">
        <f>IF(Tabla3[[#This Row],[Mes]]=AJ14,AK14,"")</f>
        <v/>
      </c>
      <c r="AO12" s="13" t="str">
        <f>IFERROR((Tabla3[[#This Row],[Ingreso]]-AN11)/AN11,"")</f>
        <v/>
      </c>
      <c r="AQ12" t="s">
        <v>35</v>
      </c>
      <c r="AR12" s="3">
        <f>IF(Tabla3[[#This Row],[Ingreso]]="",0,AR11+(AR11*AS11))</f>
        <v>0</v>
      </c>
      <c r="AS12" s="14" t="str">
        <f>IF(Tabla4[[#This Row],[Inflación]]&gt;0,Tabla4[[#This Row],[Inflación]],"")</f>
        <v/>
      </c>
      <c r="AW12" s="4"/>
      <c r="BI12" t="s">
        <v>35</v>
      </c>
      <c r="BJ12" t="str">
        <f>IF(t_variabilidad_gastos[[#This Row],[Mes]]=BF14,ABS(BG14),"")</f>
        <v/>
      </c>
      <c r="BK12" s="15" t="str">
        <f>IFERROR((t_variabilidad_gastos[[#This Row],[Gastos]]-BJ11)/BJ11,"")</f>
        <v/>
      </c>
      <c r="BM12" t="s">
        <v>45</v>
      </c>
      <c r="BN12">
        <v>31</v>
      </c>
      <c r="BO12" s="3">
        <f>J6/t_gasto_diario_limite[[#This Row],[Dias del mes]]</f>
        <v>0.12903225806451613</v>
      </c>
    </row>
    <row r="13" spans="1:88" x14ac:dyDescent="0.25">
      <c r="I13" t="s">
        <v>36</v>
      </c>
      <c r="J13" s="32"/>
      <c r="L13" t="s">
        <v>52</v>
      </c>
      <c r="M13" s="33"/>
      <c r="N13" s="3">
        <f>IFERROR(Tabla7[[#This Row],[Ingreso Ajustado]],0)</f>
        <v>0</v>
      </c>
      <c r="T13" s="3"/>
      <c r="U13" s="3"/>
      <c r="V13" s="3"/>
      <c r="W13" s="3"/>
      <c r="AM13" t="s">
        <v>36</v>
      </c>
      <c r="AN13" t="str">
        <f>IF(Tabla3[[#This Row],[Mes]]=AJ15,AK15,"")</f>
        <v/>
      </c>
      <c r="AO13" s="13" t="str">
        <f>IFERROR((Tabla3[[#This Row],[Ingreso]]-AN12)/AN12,"")</f>
        <v/>
      </c>
      <c r="AQ13" t="s">
        <v>36</v>
      </c>
      <c r="AR13" s="3">
        <f>IF(Tabla3[[#This Row],[Ingreso]]="",0,AR12+(AR12*AS12))</f>
        <v>0</v>
      </c>
      <c r="AS13" s="14" t="str">
        <f>IF(Tabla4[[#This Row],[Inflación]]&gt;0,Tabla4[[#This Row],[Inflación]],"")</f>
        <v/>
      </c>
      <c r="BI13" t="s">
        <v>36</v>
      </c>
      <c r="BJ13" t="str">
        <f>IF(t_variabilidad_gastos[[#This Row],[Mes]]=BF15,ABS(BG15),"")</f>
        <v/>
      </c>
      <c r="BK13" s="15" t="str">
        <f>IFERROR((t_variabilidad_gastos[[#This Row],[Gastos]]-BJ12)/BJ12,"")</f>
        <v/>
      </c>
      <c r="BM13" t="s">
        <v>46</v>
      </c>
      <c r="BN13">
        <v>28</v>
      </c>
      <c r="BO13" s="3">
        <f>J7/t_gasto_diario_limite[[#This Row],[Dias del mes]]</f>
        <v>0</v>
      </c>
    </row>
    <row r="14" spans="1:88" x14ac:dyDescent="0.25">
      <c r="I14" t="s">
        <v>37</v>
      </c>
      <c r="J14" s="32"/>
      <c r="L14" t="s">
        <v>53</v>
      </c>
      <c r="M14" s="33"/>
      <c r="N14" s="3">
        <f>IFERROR(Tabla7[[#This Row],[Ingreso Ajustado]],0)</f>
        <v>0</v>
      </c>
      <c r="T14" s="3"/>
      <c r="U14" s="3"/>
      <c r="V14" s="3"/>
      <c r="W14" s="3"/>
      <c r="Y14" s="17" t="s">
        <v>6</v>
      </c>
      <c r="AM14" t="s">
        <v>37</v>
      </c>
      <c r="AN14" t="str">
        <f>IF(Tabla3[[#This Row],[Mes]]=AJ16,AK16,"")</f>
        <v/>
      </c>
      <c r="AO14" s="13" t="str">
        <f>IFERROR((Tabla3[[#This Row],[Ingreso]]-AN13)/AN13,"")</f>
        <v/>
      </c>
      <c r="AQ14" t="s">
        <v>37</v>
      </c>
      <c r="AR14" s="3">
        <f>IF(Tabla3[[#This Row],[Ingreso]]="",0,AR13+(AR13*AS13))</f>
        <v>0</v>
      </c>
      <c r="AS14" s="14" t="str">
        <f>IF(Tabla4[[#This Row],[Inflación]]&gt;0,Tabla4[[#This Row],[Inflación]],"")</f>
        <v/>
      </c>
      <c r="BI14" t="s">
        <v>37</v>
      </c>
      <c r="BJ14" t="str">
        <f>IF(t_variabilidad_gastos[[#This Row],[Mes]]=BF16,ABS(BG16),"")</f>
        <v/>
      </c>
      <c r="BK14" s="15" t="str">
        <f>IFERROR((t_variabilidad_gastos[[#This Row],[Gastos]]-BJ13)/BJ13,"")</f>
        <v/>
      </c>
      <c r="BM14" t="s">
        <v>47</v>
      </c>
      <c r="BN14">
        <v>31</v>
      </c>
      <c r="BO14" s="3">
        <f>J8/t_gasto_diario_limite[[#This Row],[Dias del mes]]</f>
        <v>0</v>
      </c>
    </row>
    <row r="15" spans="1:88" x14ac:dyDescent="0.25">
      <c r="I15" t="s">
        <v>38</v>
      </c>
      <c r="J15" s="32"/>
      <c r="L15" t="s">
        <v>54</v>
      </c>
      <c r="M15" s="33"/>
      <c r="N15" s="3">
        <f>IFERROR(Tabla7[[#This Row],[Ingreso Ajustado]],0)</f>
        <v>0</v>
      </c>
      <c r="T15" s="3"/>
      <c r="U15" s="3"/>
      <c r="V15" s="3"/>
      <c r="W15" s="3"/>
      <c r="Y15" s="18">
        <f>GETPIVOTDATA("Movimiento en $",$AG$5)</f>
        <v>3</v>
      </c>
      <c r="AM15" t="s">
        <v>38</v>
      </c>
      <c r="AN15" t="str">
        <f>IF(Tabla3[[#This Row],[Mes]]=AJ17,AK17,"")</f>
        <v/>
      </c>
      <c r="AO15" s="13" t="str">
        <f>IFERROR((Tabla3[[#This Row],[Ingreso]]-AN14)/AN14,"")</f>
        <v/>
      </c>
      <c r="AQ15" t="s">
        <v>38</v>
      </c>
      <c r="AR15" s="3">
        <f>IF(Tabla3[[#This Row],[Ingreso]]="",0,AR14+(AR14*AS14))</f>
        <v>0</v>
      </c>
      <c r="AS15" s="14" t="str">
        <f>IF(Tabla4[[#This Row],[Inflación]]&gt;0,Tabla4[[#This Row],[Inflación]],"")</f>
        <v/>
      </c>
      <c r="BI15" t="s">
        <v>38</v>
      </c>
      <c r="BJ15" t="str">
        <f>IF(t_variabilidad_gastos[[#This Row],[Mes]]=BF17,ABS(BG17),"")</f>
        <v/>
      </c>
      <c r="BK15" s="15" t="str">
        <f>IFERROR((t_variabilidad_gastos[[#This Row],[Gastos]]-BJ14)/BJ14,"")</f>
        <v/>
      </c>
      <c r="BM15" t="s">
        <v>48</v>
      </c>
      <c r="BN15">
        <v>30</v>
      </c>
      <c r="BO15" s="3">
        <f>J9/t_gasto_diario_limite[[#This Row],[Dias del mes]]</f>
        <v>0</v>
      </c>
    </row>
    <row r="16" spans="1:88" x14ac:dyDescent="0.25">
      <c r="I16" t="s">
        <v>39</v>
      </c>
      <c r="J16" s="32"/>
      <c r="L16" t="s">
        <v>55</v>
      </c>
      <c r="M16" s="33"/>
      <c r="N16" s="3">
        <f>IFERROR(Tabla7[[#This Row],[Ingreso Ajustado]],0)</f>
        <v>0</v>
      </c>
      <c r="W16" s="3"/>
      <c r="AM16" t="s">
        <v>39</v>
      </c>
      <c r="AN16" t="str">
        <f>IF(Tabla3[[#This Row],[Mes]]=AJ18,AK18,"")</f>
        <v/>
      </c>
      <c r="AO16" s="13" t="str">
        <f>IFERROR((Tabla3[[#This Row],[Ingreso]]-AN15)/AN15,"")</f>
        <v/>
      </c>
      <c r="AQ16" t="s">
        <v>39</v>
      </c>
      <c r="AR16" s="3">
        <f>IF(Tabla3[[#This Row],[Ingreso]]="",0,AR15+(AR15*AS15))</f>
        <v>0</v>
      </c>
      <c r="AS16" s="14" t="str">
        <f>IF(Tabla4[[#This Row],[Inflación]]&gt;0,Tabla4[[#This Row],[Inflación]],"")</f>
        <v/>
      </c>
      <c r="BI16" t="s">
        <v>39</v>
      </c>
      <c r="BJ16" t="str">
        <f>IF(t_variabilidad_gastos[[#This Row],[Mes]]=BF18,ABS(BG18),"")</f>
        <v/>
      </c>
      <c r="BK16" s="15" t="str">
        <f>IFERROR((t_variabilidad_gastos[[#This Row],[Gastos]]-BJ15)/BJ15,"")</f>
        <v/>
      </c>
      <c r="BM16" t="s">
        <v>49</v>
      </c>
      <c r="BN16">
        <v>31</v>
      </c>
      <c r="BO16" s="3">
        <f>J10/t_gasto_diario_limite[[#This Row],[Dias del mes]]</f>
        <v>0</v>
      </c>
    </row>
    <row r="17" spans="9:69" x14ac:dyDescent="0.25">
      <c r="I17" t="s">
        <v>40</v>
      </c>
      <c r="J17" s="32"/>
      <c r="L17" t="s">
        <v>56</v>
      </c>
      <c r="M17" s="33"/>
      <c r="N17" s="3">
        <f>IFERROR(Tabla7[[#This Row],[Ingreso Ajustado]],0)</f>
        <v>0</v>
      </c>
      <c r="W17" s="3"/>
      <c r="Y17" s="17" t="s">
        <v>10</v>
      </c>
      <c r="AM17" t="s">
        <v>40</v>
      </c>
      <c r="AN17" t="str">
        <f>IF(Tabla3[[#This Row],[Mes]]=AJ19,AK19,"")</f>
        <v/>
      </c>
      <c r="AO17" s="13" t="str">
        <f>IFERROR((Tabla3[[#This Row],[Ingreso]]-AN16)/AN16,"")</f>
        <v/>
      </c>
      <c r="AQ17" t="s">
        <v>40</v>
      </c>
      <c r="AR17" s="3">
        <f>IF(Tabla3[[#This Row],[Ingreso]]="",0,AR16+(AR16*AS16))</f>
        <v>0</v>
      </c>
      <c r="AS17" s="14" t="str">
        <f>IF(Tabla4[[#This Row],[Inflación]]&gt;0,Tabla4[[#This Row],[Inflación]],"")</f>
        <v/>
      </c>
      <c r="BI17" t="s">
        <v>40</v>
      </c>
      <c r="BJ17" t="str">
        <f>IF(t_variabilidad_gastos[[#This Row],[Mes]]=BF19,ABS(BG19),"")</f>
        <v/>
      </c>
      <c r="BK17" s="15" t="str">
        <f>IFERROR((t_variabilidad_gastos[[#This Row],[Gastos]]-BJ16)/BJ16,"")</f>
        <v/>
      </c>
      <c r="BM17" t="s">
        <v>50</v>
      </c>
      <c r="BN17">
        <v>30</v>
      </c>
      <c r="BO17" s="3">
        <f>J11/t_gasto_diario_limite[[#This Row],[Dias del mes]]</f>
        <v>0</v>
      </c>
    </row>
    <row r="18" spans="9:69" x14ac:dyDescent="0.25">
      <c r="Y18" s="20">
        <f>ABS(GETPIVOTDATA("Movimiento en $",$AU$7))</f>
        <v>1</v>
      </c>
      <c r="BM18" t="s">
        <v>51</v>
      </c>
      <c r="BN18">
        <v>31</v>
      </c>
      <c r="BO18" s="3">
        <f>J12/t_gasto_diario_limite[[#This Row],[Dias del mes]]</f>
        <v>0</v>
      </c>
    </row>
    <row r="19" spans="9:69" x14ac:dyDescent="0.25">
      <c r="BM19" t="s">
        <v>52</v>
      </c>
      <c r="BN19">
        <v>31</v>
      </c>
      <c r="BO19" s="3">
        <f>J13/t_gasto_diario_limite[[#This Row],[Dias del mes]]</f>
        <v>0</v>
      </c>
    </row>
    <row r="20" spans="9:69" x14ac:dyDescent="0.25">
      <c r="Y20" s="17" t="s">
        <v>59</v>
      </c>
      <c r="BM20" t="s">
        <v>53</v>
      </c>
      <c r="BN20">
        <v>30</v>
      </c>
      <c r="BO20" s="3">
        <f>J14/t_gasto_diario_limite[[#This Row],[Dias del mes]]</f>
        <v>0</v>
      </c>
      <c r="BQ20" s="27"/>
    </row>
    <row r="21" spans="9:69" x14ac:dyDescent="0.25">
      <c r="W21" s="3"/>
      <c r="Y21" s="20">
        <f ca="1">gastos/DAY(TODAY())</f>
        <v>6.6666666666666666E-2</v>
      </c>
      <c r="BM21" t="s">
        <v>54</v>
      </c>
      <c r="BN21">
        <v>31</v>
      </c>
      <c r="BO21" s="3">
        <f>J15/t_gasto_diario_limite[[#This Row],[Dias del mes]]</f>
        <v>0</v>
      </c>
    </row>
    <row r="22" spans="9:69" x14ac:dyDescent="0.25">
      <c r="W22" s="3"/>
      <c r="BM22" t="s">
        <v>55</v>
      </c>
      <c r="BN22">
        <v>30</v>
      </c>
      <c r="BO22" s="3">
        <f>J16/t_gasto_diario_limite[[#This Row],[Dias del mes]]</f>
        <v>0</v>
      </c>
    </row>
    <row r="23" spans="9:69" x14ac:dyDescent="0.25">
      <c r="W23" s="3"/>
      <c r="Y23" s="17" t="s">
        <v>73</v>
      </c>
      <c r="BM23" t="s">
        <v>56</v>
      </c>
      <c r="BN23">
        <v>31</v>
      </c>
      <c r="BO23" s="3">
        <f>J17/t_gasto_diario_limite[[#This Row],[Dias del mes]]</f>
        <v>0</v>
      </c>
    </row>
    <row r="24" spans="9:69" x14ac:dyDescent="0.25">
      <c r="W24" s="3"/>
      <c r="Y24" s="20">
        <f ca="1">VLOOKUP(TEXT(TODAY(),"mmmm"),t_gasto_diario_limite[],3,0)</f>
        <v>0</v>
      </c>
    </row>
    <row r="25" spans="9:69" x14ac:dyDescent="0.25">
      <c r="AR25" s="13"/>
      <c r="BM25" s="24" t="s">
        <v>70</v>
      </c>
      <c r="BN25" s="25">
        <f ca="1">IFERROR(gasto_promedio_diario/VLOOKUP(TEXT(TODAY(),"mmmm"),t_gasto_diario_limite[],3,0),0)</f>
        <v>0</v>
      </c>
      <c r="BO25" s="26"/>
    </row>
    <row r="26" spans="9:69" x14ac:dyDescent="0.25">
      <c r="Y26" s="17" t="s">
        <v>76</v>
      </c>
      <c r="BM26" s="24" t="s">
        <v>71</v>
      </c>
      <c r="BN26" s="24">
        <f ca="1">180 - IF(MIN(porcentaje_gasto_diario, 1.63) &lt;= 1,
         porcentaje_gasto_diario / 100 * 110,
         110 + ((MIN(porcentaje_gasto_diario, 1.63) - 100) / 63.64) * 70) * 100</f>
        <v>180</v>
      </c>
    </row>
    <row r="27" spans="9:69" x14ac:dyDescent="0.25">
      <c r="Y27" s="20">
        <f>ABS(GETPIVOTDATA("Movimiento en $",$CA$8))</f>
        <v>0</v>
      </c>
      <c r="BM27" s="24" t="s">
        <v>72</v>
      </c>
      <c r="BN27" s="24">
        <f ca="1">angulo_gasto*PI()/180</f>
        <v>3.1415926535897931</v>
      </c>
    </row>
    <row r="28" spans="9:69" x14ac:dyDescent="0.25">
      <c r="BM28" s="24" t="s">
        <v>67</v>
      </c>
      <c r="BN28" s="24">
        <v>0</v>
      </c>
      <c r="BO28" s="24">
        <f ca="1">COS(angulo_radianes)</f>
        <v>-1</v>
      </c>
    </row>
    <row r="29" spans="9:69" x14ac:dyDescent="0.25">
      <c r="BM29" s="24" t="s">
        <v>68</v>
      </c>
      <c r="BN29" s="24">
        <v>0</v>
      </c>
      <c r="BO29" s="24">
        <f ca="1">SIN(angulo_radianes)</f>
        <v>1.22514845490862E-16</v>
      </c>
    </row>
  </sheetData>
  <sheetProtection selectLockedCells="1" sort="0" autoFilter="0" pivotTables="0"/>
  <phoneticPr fontId="4" type="noConversion"/>
  <pageMargins left="0.7" right="0.7" top="0.75" bottom="0.75" header="0.3" footer="0.3"/>
  <pageSetup orientation="portrait" r:id="rId10"/>
  <drawing r:id="rId11"/>
  <tableParts count="10"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showGridLines="0" topLeftCell="A13" zoomScaleNormal="100" workbookViewId="0">
      <selection activeCell="H15" sqref="H15"/>
    </sheetView>
  </sheetViews>
  <sheetFormatPr baseColWidth="10" defaultColWidth="9.140625" defaultRowHeight="15" x14ac:dyDescent="0.25"/>
  <cols>
    <col min="1" max="8" width="9.140625" style="6"/>
    <col min="9" max="9" width="9.140625" style="6" customWidth="1"/>
    <col min="10" max="16384" width="9.140625" style="6"/>
  </cols>
  <sheetData/>
  <sheetProtection sheet="1" objects="1" scenarios="1" selectLockedCells="1" pivotTables="0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croll Bar 2">
              <controlPr locked="0" defaultSize="0" autoPict="0">
                <anchor moveWithCells="1">
                  <from>
                    <xdr:col>1</xdr:col>
                    <xdr:colOff>0</xdr:colOff>
                    <xdr:row>40</xdr:row>
                    <xdr:rowOff>123825</xdr:rowOff>
                  </from>
                  <to>
                    <xdr:col>1</xdr:col>
                    <xdr:colOff>238125</xdr:colOff>
                    <xdr:row>49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Scroll Bar 1">
              <controlPr locked="0" defaultSize="0" autoPict="0">
                <anchor moveWithCells="1">
                  <from>
                    <xdr:col>10</xdr:col>
                    <xdr:colOff>457200</xdr:colOff>
                    <xdr:row>5</xdr:row>
                    <xdr:rowOff>47625</xdr:rowOff>
                  </from>
                  <to>
                    <xdr:col>11</xdr:col>
                    <xdr:colOff>85725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Scroll Bar 3">
              <controlPr locked="0" defaultSize="0" autoPict="0">
                <anchor moveWithCells="1">
                  <from>
                    <xdr:col>1</xdr:col>
                    <xdr:colOff>0</xdr:colOff>
                    <xdr:row>17</xdr:row>
                    <xdr:rowOff>66675</xdr:rowOff>
                  </from>
                  <to>
                    <xdr:col>1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" r:id="rId7" name="Scroll Bar 4">
              <controlPr locked="0" defaultSize="0" autoPict="0">
                <anchor moveWithCells="1">
                  <from>
                    <xdr:col>10</xdr:col>
                    <xdr:colOff>352425</xdr:colOff>
                    <xdr:row>72</xdr:row>
                    <xdr:rowOff>38100</xdr:rowOff>
                  </from>
                  <to>
                    <xdr:col>10</xdr:col>
                    <xdr:colOff>590550</xdr:colOff>
                    <xdr:row>78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8"/>
      </x14:slicerList>
    </ext>
    <ext xmlns:x15="http://schemas.microsoft.com/office/spreadsheetml/2010/11/main" uri="{7E03D99C-DC04-49d9-9315-930204A7B6E9}">
      <x15:timelineRefs>
        <x15:timelineRef r:id="rId9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13</vt:i4>
      </vt:variant>
    </vt:vector>
  </HeadingPairs>
  <TitlesOfParts>
    <vt:vector size="15" baseType="lpstr">
      <vt:lpstr>Registros</vt:lpstr>
      <vt:lpstr>Dashboard</vt:lpstr>
      <vt:lpstr>angulo_gasto</vt:lpstr>
      <vt:lpstr>angulo_radianes</vt:lpstr>
      <vt:lpstr>coord_x</vt:lpstr>
      <vt:lpstr>coord_y</vt:lpstr>
      <vt:lpstr>dinero_disponible</vt:lpstr>
      <vt:lpstr>dinero_total</vt:lpstr>
      <vt:lpstr>gasto_limite_diario</vt:lpstr>
      <vt:lpstr>gasto_promedio_diario</vt:lpstr>
      <vt:lpstr>gastos</vt:lpstr>
      <vt:lpstr>gastos_fijos</vt:lpstr>
      <vt:lpstr>ingresos</vt:lpstr>
      <vt:lpstr>porcentaje_gasto_diario</vt:lpstr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Ferri</dc:creator>
  <cp:lastModifiedBy>Bruno Ferri</cp:lastModifiedBy>
  <dcterms:created xsi:type="dcterms:W3CDTF">2015-06-05T18:19:34Z</dcterms:created>
  <dcterms:modified xsi:type="dcterms:W3CDTF">2025-02-15T21:01:40Z</dcterms:modified>
</cp:coreProperties>
</file>